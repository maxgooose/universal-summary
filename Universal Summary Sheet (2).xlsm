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b\Desktop\"/>
    </mc:Choice>
  </mc:AlternateContent>
  <xr:revisionPtr revIDLastSave="0" documentId="13_ncr:1_{15664BB1-E7C6-470C-8FCC-0F16626650A4}" xr6:coauthVersionLast="47" xr6:coauthVersionMax="47" xr10:uidLastSave="{00000000-0000-0000-0000-000000000000}"/>
  <bookViews>
    <workbookView xWindow="8775" yWindow="6540" windowWidth="31755" windowHeight="13260" xr2:uid="{00000000-000D-0000-FFFF-FFFF00000000}"/>
  </bookViews>
  <sheets>
    <sheet name="MANIFEST" sheetId="1" r:id="rId1"/>
    <sheet name="Summary of pricing" sheetId="2" r:id="rId2"/>
  </sheets>
  <functionGroups builtInGroupCount="19"/>
  <definedNames>
    <definedName name="_xlnm._FilterDatabase" localSheetId="0" hidden="1">MANIFEST!$A$1:$K$352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5" i="2" l="1"/>
  <c r="K45" i="2"/>
  <c r="J45" i="2"/>
  <c r="H45" i="2"/>
  <c r="G45" i="2"/>
  <c r="F45" i="2"/>
  <c r="D45" i="2"/>
  <c r="C45" i="2"/>
  <c r="B45" i="2"/>
  <c r="L43" i="2"/>
  <c r="K43" i="2"/>
  <c r="H43" i="2"/>
  <c r="D43" i="2"/>
  <c r="L40" i="2"/>
  <c r="K40" i="2"/>
  <c r="J40" i="2"/>
  <c r="H40" i="2"/>
  <c r="G40" i="2"/>
  <c r="F40" i="2"/>
  <c r="D40" i="2"/>
  <c r="C40" i="2"/>
  <c r="B40" i="2"/>
  <c r="L38" i="2"/>
  <c r="K38" i="2"/>
  <c r="H38" i="2"/>
  <c r="D38" i="2"/>
  <c r="L35" i="2"/>
  <c r="K35" i="2"/>
  <c r="J35" i="2"/>
  <c r="H35" i="2"/>
  <c r="G35" i="2"/>
  <c r="F35" i="2"/>
  <c r="D35" i="2"/>
  <c r="C35" i="2"/>
  <c r="B35" i="2"/>
  <c r="L33" i="2"/>
  <c r="K33" i="2"/>
  <c r="H33" i="2"/>
  <c r="D33" i="2"/>
  <c r="L30" i="2"/>
  <c r="K30" i="2"/>
  <c r="J30" i="2"/>
  <c r="H30" i="2"/>
  <c r="G30" i="2"/>
  <c r="F30" i="2"/>
  <c r="D30" i="2"/>
  <c r="C30" i="2"/>
  <c r="B30" i="2"/>
  <c r="L28" i="2"/>
  <c r="K28" i="2"/>
  <c r="H28" i="2"/>
  <c r="D28" i="2"/>
  <c r="L27" i="2"/>
  <c r="K27" i="2"/>
  <c r="H27" i="2"/>
  <c r="D27" i="2"/>
  <c r="L24" i="2"/>
  <c r="K24" i="2"/>
  <c r="J24" i="2"/>
  <c r="H24" i="2"/>
  <c r="G24" i="2"/>
  <c r="F24" i="2"/>
  <c r="D24" i="2"/>
  <c r="C24" i="2"/>
  <c r="B24" i="2"/>
  <c r="L22" i="2"/>
  <c r="K22" i="2"/>
  <c r="H22" i="2"/>
  <c r="D22" i="2"/>
  <c r="L19" i="2"/>
  <c r="K19" i="2"/>
  <c r="J19" i="2"/>
  <c r="H19" i="2"/>
  <c r="G19" i="2"/>
  <c r="F19" i="2"/>
  <c r="D19" i="2"/>
  <c r="C19" i="2"/>
  <c r="B19" i="2"/>
  <c r="L17" i="2"/>
  <c r="K17" i="2"/>
  <c r="H17" i="2"/>
  <c r="D17" i="2"/>
  <c r="L16" i="2"/>
  <c r="K16" i="2"/>
  <c r="H16" i="2"/>
  <c r="D16" i="2"/>
  <c r="L15" i="2"/>
  <c r="K15" i="2"/>
  <c r="H15" i="2"/>
  <c r="D15" i="2"/>
  <c r="L14" i="2"/>
  <c r="K14" i="2"/>
  <c r="H14" i="2"/>
  <c r="D14" i="2"/>
  <c r="L11" i="2"/>
  <c r="K11" i="2"/>
  <c r="J11" i="2"/>
  <c r="H11" i="2"/>
  <c r="G11" i="2"/>
  <c r="F11" i="2"/>
  <c r="D11" i="2"/>
  <c r="C11" i="2"/>
  <c r="B11" i="2"/>
  <c r="L9" i="2"/>
  <c r="K9" i="2"/>
  <c r="H9" i="2"/>
  <c r="D9" i="2"/>
  <c r="L8" i="2"/>
  <c r="K8" i="2"/>
  <c r="H8" i="2"/>
  <c r="D8" i="2"/>
  <c r="L5" i="2"/>
  <c r="K5" i="2"/>
  <c r="J5" i="2"/>
  <c r="H5" i="2"/>
  <c r="G5" i="2"/>
  <c r="F5" i="2"/>
  <c r="D5" i="2"/>
  <c r="C5" i="2"/>
  <c r="B5" i="2"/>
  <c r="L3" i="2"/>
  <c r="K3" i="2"/>
  <c r="H3" i="2"/>
  <c r="D3" i="2"/>
  <c r="L2" i="2"/>
  <c r="K2" i="2"/>
  <c r="H2" i="2"/>
  <c r="D2" i="2"/>
</calcChain>
</file>

<file path=xl/sharedStrings.xml><?xml version="1.0" encoding="utf-8"?>
<sst xmlns="http://schemas.openxmlformats.org/spreadsheetml/2006/main" count="1162" uniqueCount="161">
  <si>
    <t>BATCH</t>
  </si>
  <si>
    <t>MODEL</t>
  </si>
  <si>
    <t>DESCRIPTION</t>
  </si>
  <si>
    <t>IMEI/ SERIAL NO.</t>
  </si>
  <si>
    <t>CATEGORY</t>
  </si>
  <si>
    <t>NETWORK</t>
  </si>
  <si>
    <t>GRADE</t>
  </si>
  <si>
    <t>BATTERY HEALTH</t>
  </si>
  <si>
    <t>MODEL w/STORAGE</t>
  </si>
  <si>
    <t>STORAGE</t>
  </si>
  <si>
    <t>COLOR</t>
  </si>
  <si>
    <t>Click to generate summary:</t>
  </si>
  <si>
    <t>IPAD 6 WIFI</t>
  </si>
  <si>
    <t>128GB-SPACE GRAY</t>
  </si>
  <si>
    <t>FUNCTIONAL</t>
  </si>
  <si>
    <t>UNLOCKED</t>
  </si>
  <si>
    <t>B</t>
  </si>
  <si>
    <t>GOOD</t>
  </si>
  <si>
    <t>IPAD 6 WIFI 128GB</t>
  </si>
  <si>
    <t>128GB</t>
  </si>
  <si>
    <t>SPACE GRAY</t>
  </si>
  <si>
    <t>C</t>
  </si>
  <si>
    <t>DAMAGED</t>
  </si>
  <si>
    <t>N/A</t>
  </si>
  <si>
    <t>C (AMZ)</t>
  </si>
  <si>
    <t>32GB-SPACE GRAY</t>
  </si>
  <si>
    <t>32GB</t>
  </si>
  <si>
    <t>Model + Storage + Battery status + Grade + Color</t>
  </si>
  <si>
    <t>Qty</t>
  </si>
  <si>
    <t>Cost</t>
  </si>
  <si>
    <t>Extended Cost</t>
  </si>
  <si>
    <t>Multiplier</t>
  </si>
  <si>
    <t>Suggested Wholesale</t>
  </si>
  <si>
    <t>Suggested Extended</t>
  </si>
  <si>
    <t>Free hand Multiplier</t>
  </si>
  <si>
    <t>Final whole sale</t>
  </si>
  <si>
    <t>Final extended</t>
  </si>
  <si>
    <t>Notes</t>
  </si>
  <si>
    <t>IPAD 6 WIFI 128GB GOOD C SPACE GRAY</t>
  </si>
  <si>
    <t>Average Cost</t>
  </si>
  <si>
    <t>Suggested wholesale</t>
  </si>
  <si>
    <t>Clear Rate</t>
  </si>
  <si>
    <t>Final Wholesale</t>
  </si>
  <si>
    <t>Final Extended</t>
  </si>
  <si>
    <t>GOOD_BATTERY</t>
  </si>
  <si>
    <t>166-120225</t>
  </si>
  <si>
    <t>IPAD 5 WIFI</t>
  </si>
  <si>
    <t>GCJV8MPEHLF9</t>
  </si>
  <si>
    <t>IPAD 5 WIFI 32GB</t>
  </si>
  <si>
    <t>F9FTTRAKHLF9</t>
  </si>
  <si>
    <t>GCGVFRAVHLF9</t>
  </si>
  <si>
    <t>GCGVFBWEHLF9</t>
  </si>
  <si>
    <t>F9FTTSRBHLF9</t>
  </si>
  <si>
    <t>GCJV8MU9HLF9</t>
  </si>
  <si>
    <t>GCJV8ZDQHLF9</t>
  </si>
  <si>
    <t>GCJV8QHPHLF9</t>
  </si>
  <si>
    <t>DMPTMNLGHLFD</t>
  </si>
  <si>
    <t>IPAD 5 WIFI 128GB</t>
  </si>
  <si>
    <t>DMQTM3JMHLFD</t>
  </si>
  <si>
    <t>DMPTMWW7HLFD</t>
  </si>
  <si>
    <t>DMPTMP8GHLFD</t>
  </si>
  <si>
    <t>F9FTRB16HLFD</t>
  </si>
  <si>
    <t>DMQXFG57JF8J</t>
  </si>
  <si>
    <t>IPAD 6 WIFI 32GB</t>
  </si>
  <si>
    <t>GG7YDPLDJF8J</t>
  </si>
  <si>
    <t>DMRW6EEVJF8J</t>
  </si>
  <si>
    <t>DMPXFSSEJF8J</t>
  </si>
  <si>
    <t>DMRW66LHJF8J</t>
  </si>
  <si>
    <t>DMPXFV37JF8J</t>
  </si>
  <si>
    <t>DMQXFJNGJF8J</t>
  </si>
  <si>
    <t>DMRW74WEJF8J</t>
  </si>
  <si>
    <t>GG7YD7G1JF8J</t>
  </si>
  <si>
    <t>DMQXFQALJF8J</t>
  </si>
  <si>
    <t>DMQWLKFAJF8J</t>
  </si>
  <si>
    <t>DMQXFG1PJF8J</t>
  </si>
  <si>
    <t>DMQXF37YJF8J</t>
  </si>
  <si>
    <t>GG8YMSNAJF8J</t>
  </si>
  <si>
    <t>DMPXFDZFJF8J</t>
  </si>
  <si>
    <t>GQ8XCG9BJF8J</t>
  </si>
  <si>
    <t>DMQXFKWNJF8J</t>
  </si>
  <si>
    <t>DMRW53A1JF8J</t>
  </si>
  <si>
    <t>GQ8XCE3BJF8J</t>
  </si>
  <si>
    <t>DMQXFQ32JF8J</t>
  </si>
  <si>
    <t>DMQW6TMLJF8J</t>
  </si>
  <si>
    <t>DMQW5TQCJF8J</t>
  </si>
  <si>
    <t>GG7YDK0QJF8J</t>
  </si>
  <si>
    <t>DMQXFLK4JF8J</t>
  </si>
  <si>
    <t>GG7Z5X68JF8J</t>
  </si>
  <si>
    <t>GG8YQ1HPJF8J</t>
  </si>
  <si>
    <t>DMPXFRAQJF8J</t>
  </si>
  <si>
    <t>GG7YD8M1JF8J</t>
  </si>
  <si>
    <t>GG7YDDVYJF8J</t>
  </si>
  <si>
    <t>GG7YD788JF8J</t>
  </si>
  <si>
    <t>DMQW6TUMJF8J</t>
  </si>
  <si>
    <t>GG7YD8CGJF8J</t>
  </si>
  <si>
    <t>DMPXFT5LJF8J</t>
  </si>
  <si>
    <t>GG7YDM7WJF8J</t>
  </si>
  <si>
    <t>DMQXF9X6JF8J</t>
  </si>
  <si>
    <t>DMPXFTZBJF8J</t>
  </si>
  <si>
    <t>DMQXFPP4JF8J</t>
  </si>
  <si>
    <t>DMQWJ23VJF8J</t>
  </si>
  <si>
    <t>DMPXFDN9JF8J</t>
  </si>
  <si>
    <t>GG7YD389JF8J</t>
  </si>
  <si>
    <t>DMQXFDW6JF8J</t>
  </si>
  <si>
    <t>DMQXFGTVJF8J</t>
  </si>
  <si>
    <t>DMQXFFJ8JF8J</t>
  </si>
  <si>
    <t>DMQXFGSKJF8J</t>
  </si>
  <si>
    <t>DMPW55DMJF8J</t>
  </si>
  <si>
    <t>DMQXFPPLJF8J</t>
  </si>
  <si>
    <t>DMQXFQ5MJF8J</t>
  </si>
  <si>
    <t>DMQXFBFFJF8J</t>
  </si>
  <si>
    <t>DMQXFQXGJF8J</t>
  </si>
  <si>
    <t>DMQXFL2QJF8J</t>
  </si>
  <si>
    <t>DMPXFUXMJF8J</t>
  </si>
  <si>
    <t>DMQW6VJFJF8J</t>
  </si>
  <si>
    <t>GG7YDB50JF8J</t>
  </si>
  <si>
    <t>DMPY85E0JF8M</t>
  </si>
  <si>
    <t>IPAD 9 WIFI</t>
  </si>
  <si>
    <t>64GB-SILVER</t>
  </si>
  <si>
    <t>JTC7TLGXY5</t>
  </si>
  <si>
    <t>IPAD 9 WIFI 64GB</t>
  </si>
  <si>
    <t>64GB</t>
  </si>
  <si>
    <t>SILVER</t>
  </si>
  <si>
    <t>GX2CQXRRQP</t>
  </si>
  <si>
    <t>D2MK9JM9YW</t>
  </si>
  <si>
    <t>64GB-SPACE GRAY</t>
  </si>
  <si>
    <t>KQFHKC9FDH</t>
  </si>
  <si>
    <t>GV492F3VJP</t>
  </si>
  <si>
    <t>M9XK4Y90Y9</t>
  </si>
  <si>
    <t>W27RW9X2GK</t>
  </si>
  <si>
    <t>L2LXJM6Y52</t>
  </si>
  <si>
    <t>MF99DT21XK</t>
  </si>
  <si>
    <t>JTVDL7GV41</t>
  </si>
  <si>
    <t>XCF96KM17G</t>
  </si>
  <si>
    <t>GTXGQLGW37</t>
  </si>
  <si>
    <t>D9F6PW7XDC</t>
  </si>
  <si>
    <t>L45MQT36Q2</t>
  </si>
  <si>
    <t>DMF7DJY601</t>
  </si>
  <si>
    <t>IPAD PRO 9.7 WIFI (2016) A1673</t>
  </si>
  <si>
    <t>DMPRJL04H1M9</t>
  </si>
  <si>
    <t>IPAD PRO 9.7 WIFI (2016) A1673 32GB</t>
  </si>
  <si>
    <t>DMPRJK5SH1M9</t>
  </si>
  <si>
    <t>IPAD PRO 10.5 CELLULAR (2017) A1709</t>
  </si>
  <si>
    <t>IPAD PRO 10.5 CELLULAR (2017) A1709 64GB</t>
  </si>
  <si>
    <t>256GB-SPACE GRAY</t>
  </si>
  <si>
    <t>IPAD PRO 10.5 CELLULAR (2017) A1709 256GB</t>
  </si>
  <si>
    <t>256GB</t>
  </si>
  <si>
    <t>IPAD 5 WIFI 32GB GOOD B SPACE GRAY</t>
  </si>
  <si>
    <t>IPAD 5 WIFI 32GB GOOD C (AMZ) SPACE GRAY</t>
  </si>
  <si>
    <t>Model + Storage</t>
  </si>
  <si>
    <t>IPAD 5 WIFI 128GB GOOD B SPACE GRAY</t>
  </si>
  <si>
    <t>IPAD 5 WIFI 128GB N/A N/A SPACE GRAY</t>
  </si>
  <si>
    <t>IPAD 6 WIFI 32GB GOOD C (AMZ) SPACE GRAY</t>
  </si>
  <si>
    <t>IPAD 6 WIFI 32GB GOOD B SPACE GRAY</t>
  </si>
  <si>
    <t>IPAD 6 WIFI 32GB N/A N/A SPACE GRAY</t>
  </si>
  <si>
    <t>IPAD 6 WIFI 32GB GOOD C SPACE GRAY</t>
  </si>
  <si>
    <t>IPAD 9 WIFI 64GB GOOD B SILVER, SPACE GRAY</t>
  </si>
  <si>
    <t>IPAD 9 WIFI 64GB GOOD C SPACE GRAY</t>
  </si>
  <si>
    <t>IPAD PRO 9.7 WIFI (2016) A1673 32GB GOOD B SPACE GRAY</t>
  </si>
  <si>
    <t>IPAD PRO 10.5 CELLULAR (2017) A1709 64GB GOOD C (AMZ) SPACE GRAY</t>
  </si>
  <si>
    <t>IPAD PRO 10.5 CELLULAR (2017) A1709 256GB GOOD C SPACE 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</si>
</sst>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C8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164" fontId="0" fillId="2" borderId="1" xfId="0" applyNumberFormat="1" applyFill="1" applyBorder="1"/>
    <xf numFmtId="164" fontId="0" fillId="0" borderId="1" xfId="0" applyNumberFormat="1" applyBorder="1"/>
    <xf numFmtId="2" fontId="0" fillId="3" borderId="1" xfId="0" applyNumberFormat="1" applyFill="1" applyBorder="1"/>
    <xf numFmtId="164" fontId="0" fillId="4" borderId="1" xfId="0" applyNumberFormat="1" applyFill="1" applyBorder="1"/>
    <xf numFmtId="0" fontId="0" fillId="5" borderId="1" xfId="0" applyFill="1" applyBorder="1"/>
    <xf numFmtId="164" fontId="0" fillId="5" borderId="1" xfId="0" applyNumberFormat="1" applyFill="1" applyBorder="1"/>
    <xf numFmtId="10" fontId="0" fillId="5" borderId="1" xfId="0" applyNumberFormat="1" applyFill="1" applyBorder="1"/>
    <xf numFmtId="0" fontId="4" fillId="0" borderId="0" xfId="0" applyFont="1"/>
    <xf numFmtId="2" fontId="0" fillId="4" borderId="1" xfId="0" applyNumberFormat="1" applyFill="1" applyBorder="1"/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025" name="btnGenerateSummar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Pricing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88"/>
  <sheetViews>
    <sheetView tabSelected="1" topLeftCell="A28" zoomScale="115" zoomScaleNormal="115" workbookViewId="0">
      <selection activeCell="H55" sqref="E54:H55"/>
    </sheetView>
  </sheetViews>
  <sheetFormatPr defaultRowHeight="15" x14ac:dyDescent="0.25"/>
  <cols>
    <col min="1" max="6" width="18.85546875" customWidth="1"/>
    <col min="7" max="7" width="13" customWidth="1"/>
    <col min="8" max="8" width="18.85546875" customWidth="1"/>
    <col min="9" max="9" width="23.42578125" bestFit="1" customWidth="1"/>
    <col min="10" max="11" width="18.8554687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s="3" t="s">
        <v>11</v>
      </c>
    </row>
    <row r="2" spans="1:13" x14ac:dyDescent="0.25">
      <c r="A2" s="4" t="s">
        <v>45</v>
      </c>
      <c r="B2" s="4" t="s">
        <v>46</v>
      </c>
      <c r="C2" s="4" t="s">
        <v>25</v>
      </c>
      <c r="D2" s="5" t="s">
        <v>47</v>
      </c>
      <c r="E2" s="4" t="s">
        <v>14</v>
      </c>
      <c r="F2" s="6" t="s">
        <v>15</v>
      </c>
      <c r="G2" s="6" t="s">
        <v>16</v>
      </c>
      <c r="H2" s="6" t="s">
        <v>17</v>
      </c>
      <c r="I2" s="6" t="s">
        <v>48</v>
      </c>
      <c r="J2" s="6" t="s">
        <v>26</v>
      </c>
      <c r="K2" s="6" t="s">
        <v>20</v>
      </c>
    </row>
    <row r="3" spans="1:13" x14ac:dyDescent="0.25">
      <c r="A3" s="4" t="s">
        <v>45</v>
      </c>
      <c r="B3" s="4" t="s">
        <v>46</v>
      </c>
      <c r="C3" s="4" t="s">
        <v>25</v>
      </c>
      <c r="D3" s="5" t="s">
        <v>49</v>
      </c>
      <c r="E3" s="4" t="s">
        <v>14</v>
      </c>
      <c r="F3" s="6" t="s">
        <v>15</v>
      </c>
      <c r="G3" s="6" t="s">
        <v>24</v>
      </c>
      <c r="H3" s="6" t="s">
        <v>17</v>
      </c>
      <c r="I3" s="6" t="s">
        <v>48</v>
      </c>
      <c r="J3" s="6" t="s">
        <v>26</v>
      </c>
      <c r="K3" s="6" t="s">
        <v>20</v>
      </c>
    </row>
    <row r="4" spans="1:13" x14ac:dyDescent="0.25">
      <c r="A4" s="4" t="s">
        <v>45</v>
      </c>
      <c r="B4" s="4" t="s">
        <v>46</v>
      </c>
      <c r="C4" s="4" t="s">
        <v>25</v>
      </c>
      <c r="D4" s="5" t="s">
        <v>50</v>
      </c>
      <c r="E4" s="4" t="s">
        <v>14</v>
      </c>
      <c r="F4" s="6" t="s">
        <v>15</v>
      </c>
      <c r="G4" s="6" t="s">
        <v>16</v>
      </c>
      <c r="H4" s="6" t="s">
        <v>17</v>
      </c>
      <c r="I4" s="6" t="s">
        <v>48</v>
      </c>
      <c r="J4" s="6" t="s">
        <v>26</v>
      </c>
      <c r="K4" s="6" t="s">
        <v>20</v>
      </c>
    </row>
    <row r="5" spans="1:13" x14ac:dyDescent="0.25">
      <c r="A5" s="4" t="s">
        <v>45</v>
      </c>
      <c r="B5" s="4" t="s">
        <v>46</v>
      </c>
      <c r="C5" s="4" t="s">
        <v>25</v>
      </c>
      <c r="D5" s="5" t="s">
        <v>51</v>
      </c>
      <c r="E5" s="4" t="s">
        <v>14</v>
      </c>
      <c r="F5" s="6" t="s">
        <v>15</v>
      </c>
      <c r="G5" s="6" t="s">
        <v>24</v>
      </c>
      <c r="H5" s="6" t="s">
        <v>17</v>
      </c>
      <c r="I5" s="6" t="s">
        <v>48</v>
      </c>
      <c r="J5" s="6" t="s">
        <v>26</v>
      </c>
      <c r="K5" s="6" t="s">
        <v>20</v>
      </c>
    </row>
    <row r="6" spans="1:13" x14ac:dyDescent="0.25">
      <c r="A6" s="4" t="s">
        <v>45</v>
      </c>
      <c r="B6" s="4" t="s">
        <v>46</v>
      </c>
      <c r="C6" s="4" t="s">
        <v>25</v>
      </c>
      <c r="D6" s="5" t="s">
        <v>52</v>
      </c>
      <c r="E6" s="4" t="s">
        <v>14</v>
      </c>
      <c r="F6" s="6" t="s">
        <v>15</v>
      </c>
      <c r="G6" s="6" t="s">
        <v>16</v>
      </c>
      <c r="H6" s="6" t="s">
        <v>17</v>
      </c>
      <c r="I6" s="6" t="s">
        <v>48</v>
      </c>
      <c r="J6" s="6" t="s">
        <v>26</v>
      </c>
      <c r="K6" s="6" t="s">
        <v>20</v>
      </c>
    </row>
    <row r="7" spans="1:13" x14ac:dyDescent="0.25">
      <c r="A7" s="4" t="s">
        <v>45</v>
      </c>
      <c r="B7" s="4" t="s">
        <v>46</v>
      </c>
      <c r="C7" s="4" t="s">
        <v>25</v>
      </c>
      <c r="D7" s="5" t="s">
        <v>53</v>
      </c>
      <c r="E7" s="4" t="s">
        <v>14</v>
      </c>
      <c r="F7" s="6" t="s">
        <v>15</v>
      </c>
      <c r="G7" s="6" t="s">
        <v>16</v>
      </c>
      <c r="H7" s="6" t="s">
        <v>17</v>
      </c>
      <c r="I7" s="6" t="s">
        <v>48</v>
      </c>
      <c r="J7" s="6" t="s">
        <v>26</v>
      </c>
      <c r="K7" s="6" t="s">
        <v>20</v>
      </c>
    </row>
    <row r="8" spans="1:13" x14ac:dyDescent="0.25">
      <c r="A8" s="4" t="s">
        <v>45</v>
      </c>
      <c r="B8" s="4" t="s">
        <v>46</v>
      </c>
      <c r="C8" s="4" t="s">
        <v>25</v>
      </c>
      <c r="D8" s="5" t="s">
        <v>54</v>
      </c>
      <c r="E8" s="4" t="s">
        <v>14</v>
      </c>
      <c r="F8" s="6" t="s">
        <v>15</v>
      </c>
      <c r="G8" s="6" t="s">
        <v>16</v>
      </c>
      <c r="H8" s="6" t="s">
        <v>17</v>
      </c>
      <c r="I8" s="6" t="s">
        <v>48</v>
      </c>
      <c r="J8" s="6" t="s">
        <v>26</v>
      </c>
      <c r="K8" s="6" t="s">
        <v>20</v>
      </c>
    </row>
    <row r="9" spans="1:13" x14ac:dyDescent="0.25">
      <c r="A9" s="4" t="s">
        <v>45</v>
      </c>
      <c r="B9" s="4" t="s">
        <v>46</v>
      </c>
      <c r="C9" s="4" t="s">
        <v>25</v>
      </c>
      <c r="D9" s="5" t="s">
        <v>55</v>
      </c>
      <c r="E9" s="4" t="s">
        <v>14</v>
      </c>
      <c r="F9" s="6" t="s">
        <v>15</v>
      </c>
      <c r="G9" s="6" t="s">
        <v>24</v>
      </c>
      <c r="H9" s="6" t="s">
        <v>17</v>
      </c>
      <c r="I9" s="6" t="s">
        <v>48</v>
      </c>
      <c r="J9" s="6" t="s">
        <v>26</v>
      </c>
      <c r="K9" s="6" t="s">
        <v>20</v>
      </c>
    </row>
    <row r="10" spans="1:13" x14ac:dyDescent="0.25">
      <c r="A10" s="4" t="s">
        <v>45</v>
      </c>
      <c r="B10" s="4" t="s">
        <v>46</v>
      </c>
      <c r="C10" s="4" t="s">
        <v>13</v>
      </c>
      <c r="D10" s="5" t="s">
        <v>56</v>
      </c>
      <c r="E10" s="4" t="s">
        <v>14</v>
      </c>
      <c r="F10" s="6" t="s">
        <v>15</v>
      </c>
      <c r="G10" s="6" t="s">
        <v>16</v>
      </c>
      <c r="H10" s="6" t="s">
        <v>17</v>
      </c>
      <c r="I10" s="6" t="s">
        <v>57</v>
      </c>
      <c r="J10" s="6" t="s">
        <v>19</v>
      </c>
      <c r="K10" s="6" t="s">
        <v>20</v>
      </c>
    </row>
    <row r="11" spans="1:13" x14ac:dyDescent="0.25">
      <c r="A11" s="4" t="s">
        <v>45</v>
      </c>
      <c r="B11" s="4" t="s">
        <v>46</v>
      </c>
      <c r="C11" s="4" t="s">
        <v>13</v>
      </c>
      <c r="D11" s="5" t="s">
        <v>58</v>
      </c>
      <c r="E11" s="4" t="s">
        <v>14</v>
      </c>
      <c r="F11" s="6" t="s">
        <v>15</v>
      </c>
      <c r="G11" s="6" t="s">
        <v>16</v>
      </c>
      <c r="H11" s="6" t="s">
        <v>17</v>
      </c>
      <c r="I11" s="6" t="s">
        <v>57</v>
      </c>
      <c r="J11" s="6" t="s">
        <v>19</v>
      </c>
      <c r="K11" s="6" t="s">
        <v>20</v>
      </c>
    </row>
    <row r="12" spans="1:13" x14ac:dyDescent="0.25">
      <c r="A12" s="4" t="s">
        <v>45</v>
      </c>
      <c r="B12" s="4" t="s">
        <v>46</v>
      </c>
      <c r="C12" s="4" t="s">
        <v>13</v>
      </c>
      <c r="D12" s="5" t="s">
        <v>59</v>
      </c>
      <c r="E12" s="4" t="s">
        <v>14</v>
      </c>
      <c r="F12" s="6" t="s">
        <v>15</v>
      </c>
      <c r="G12" s="6" t="s">
        <v>16</v>
      </c>
      <c r="H12" s="6" t="s">
        <v>17</v>
      </c>
      <c r="I12" s="6" t="s">
        <v>57</v>
      </c>
      <c r="J12" s="6" t="s">
        <v>19</v>
      </c>
      <c r="K12" s="6" t="s">
        <v>20</v>
      </c>
    </row>
    <row r="13" spans="1:13" x14ac:dyDescent="0.25">
      <c r="A13" s="4" t="s">
        <v>45</v>
      </c>
      <c r="B13" s="4" t="s">
        <v>46</v>
      </c>
      <c r="C13" s="4" t="s">
        <v>13</v>
      </c>
      <c r="D13" s="5" t="s">
        <v>60</v>
      </c>
      <c r="E13" s="4" t="s">
        <v>14</v>
      </c>
      <c r="F13" s="6" t="s">
        <v>15</v>
      </c>
      <c r="G13" s="6" t="s">
        <v>16</v>
      </c>
      <c r="H13" s="6" t="s">
        <v>17</v>
      </c>
      <c r="I13" s="6" t="s">
        <v>57</v>
      </c>
      <c r="J13" s="6" t="s">
        <v>19</v>
      </c>
      <c r="K13" s="6" t="s">
        <v>20</v>
      </c>
    </row>
    <row r="14" spans="1:13" x14ac:dyDescent="0.25">
      <c r="A14" s="4" t="s">
        <v>45</v>
      </c>
      <c r="B14" s="4" t="s">
        <v>46</v>
      </c>
      <c r="C14" s="4" t="s">
        <v>13</v>
      </c>
      <c r="D14" s="5" t="s">
        <v>61</v>
      </c>
      <c r="E14" s="4" t="s">
        <v>22</v>
      </c>
      <c r="F14" s="6" t="s">
        <v>15</v>
      </c>
      <c r="G14" s="6" t="s">
        <v>23</v>
      </c>
      <c r="H14" s="6" t="s">
        <v>23</v>
      </c>
      <c r="I14" s="6" t="s">
        <v>57</v>
      </c>
      <c r="J14" s="6" t="s">
        <v>19</v>
      </c>
      <c r="K14" s="6" t="s">
        <v>20</v>
      </c>
    </row>
    <row r="15" spans="1:13" x14ac:dyDescent="0.25">
      <c r="A15" s="4" t="s">
        <v>45</v>
      </c>
      <c r="B15" s="4" t="s">
        <v>12</v>
      </c>
      <c r="C15" s="4" t="s">
        <v>25</v>
      </c>
      <c r="D15" s="5" t="s">
        <v>62</v>
      </c>
      <c r="E15" s="4" t="s">
        <v>14</v>
      </c>
      <c r="F15" s="6" t="s">
        <v>15</v>
      </c>
      <c r="G15" s="6" t="s">
        <v>24</v>
      </c>
      <c r="H15" s="6" t="s">
        <v>17</v>
      </c>
      <c r="I15" s="6" t="s">
        <v>63</v>
      </c>
      <c r="J15" s="6" t="s">
        <v>26</v>
      </c>
      <c r="K15" s="6" t="s">
        <v>20</v>
      </c>
    </row>
    <row r="16" spans="1:13" x14ac:dyDescent="0.25">
      <c r="A16" s="4" t="s">
        <v>45</v>
      </c>
      <c r="B16" s="4" t="s">
        <v>12</v>
      </c>
      <c r="C16" s="4" t="s">
        <v>25</v>
      </c>
      <c r="D16" s="5" t="s">
        <v>64</v>
      </c>
      <c r="E16" s="4" t="s">
        <v>14</v>
      </c>
      <c r="F16" s="6" t="s">
        <v>15</v>
      </c>
      <c r="G16" s="6" t="s">
        <v>16</v>
      </c>
      <c r="H16" s="6" t="s">
        <v>17</v>
      </c>
      <c r="I16" s="6" t="s">
        <v>63</v>
      </c>
      <c r="J16" s="6" t="s">
        <v>26</v>
      </c>
      <c r="K16" s="6" t="s">
        <v>20</v>
      </c>
    </row>
    <row r="17" spans="1:11" x14ac:dyDescent="0.25">
      <c r="A17" s="4" t="s">
        <v>45</v>
      </c>
      <c r="B17" s="4" t="s">
        <v>12</v>
      </c>
      <c r="C17" s="4" t="s">
        <v>25</v>
      </c>
      <c r="D17" s="5" t="s">
        <v>65</v>
      </c>
      <c r="E17" s="4" t="s">
        <v>22</v>
      </c>
      <c r="F17" s="6" t="s">
        <v>15</v>
      </c>
      <c r="G17" s="6" t="s">
        <v>23</v>
      </c>
      <c r="H17" s="6" t="s">
        <v>23</v>
      </c>
      <c r="I17" s="6" t="s">
        <v>63</v>
      </c>
      <c r="J17" s="6" t="s">
        <v>26</v>
      </c>
      <c r="K17" s="6" t="s">
        <v>20</v>
      </c>
    </row>
    <row r="18" spans="1:11" x14ac:dyDescent="0.25">
      <c r="A18" s="4" t="s">
        <v>45</v>
      </c>
      <c r="B18" s="4" t="s">
        <v>12</v>
      </c>
      <c r="C18" s="4" t="s">
        <v>25</v>
      </c>
      <c r="D18" s="5" t="s">
        <v>66</v>
      </c>
      <c r="E18" s="4" t="s">
        <v>14</v>
      </c>
      <c r="F18" s="6" t="s">
        <v>15</v>
      </c>
      <c r="G18" s="6" t="s">
        <v>16</v>
      </c>
      <c r="H18" s="6" t="s">
        <v>17</v>
      </c>
      <c r="I18" s="6" t="s">
        <v>63</v>
      </c>
      <c r="J18" s="6" t="s">
        <v>26</v>
      </c>
      <c r="K18" s="6" t="s">
        <v>20</v>
      </c>
    </row>
    <row r="19" spans="1:11" x14ac:dyDescent="0.25">
      <c r="A19" s="4" t="s">
        <v>45</v>
      </c>
      <c r="B19" s="4" t="s">
        <v>12</v>
      </c>
      <c r="C19" s="4" t="s">
        <v>25</v>
      </c>
      <c r="D19" s="5" t="s">
        <v>67</v>
      </c>
      <c r="E19" s="4" t="s">
        <v>14</v>
      </c>
      <c r="F19" s="6" t="s">
        <v>15</v>
      </c>
      <c r="G19" s="6" t="s">
        <v>16</v>
      </c>
      <c r="H19" s="6" t="s">
        <v>17</v>
      </c>
      <c r="I19" s="6" t="s">
        <v>63</v>
      </c>
      <c r="J19" s="6" t="s">
        <v>26</v>
      </c>
      <c r="K19" s="6" t="s">
        <v>20</v>
      </c>
    </row>
    <row r="20" spans="1:11" x14ac:dyDescent="0.25">
      <c r="A20" s="4" t="s">
        <v>45</v>
      </c>
      <c r="B20" s="4" t="s">
        <v>12</v>
      </c>
      <c r="C20" s="4" t="s">
        <v>25</v>
      </c>
      <c r="D20" s="5" t="s">
        <v>68</v>
      </c>
      <c r="E20" s="4" t="s">
        <v>14</v>
      </c>
      <c r="F20" s="6" t="s">
        <v>15</v>
      </c>
      <c r="G20" s="6" t="s">
        <v>16</v>
      </c>
      <c r="H20" s="6" t="s">
        <v>17</v>
      </c>
      <c r="I20" s="6" t="s">
        <v>63</v>
      </c>
      <c r="J20" s="6" t="s">
        <v>26</v>
      </c>
      <c r="K20" s="6" t="s">
        <v>20</v>
      </c>
    </row>
    <row r="21" spans="1:11" x14ac:dyDescent="0.25">
      <c r="A21" s="4" t="s">
        <v>45</v>
      </c>
      <c r="B21" s="4" t="s">
        <v>12</v>
      </c>
      <c r="C21" s="4" t="s">
        <v>25</v>
      </c>
      <c r="D21" s="5" t="s">
        <v>69</v>
      </c>
      <c r="E21" s="4" t="s">
        <v>14</v>
      </c>
      <c r="F21" s="6" t="s">
        <v>15</v>
      </c>
      <c r="G21" s="6" t="s">
        <v>16</v>
      </c>
      <c r="H21" s="6" t="s">
        <v>17</v>
      </c>
      <c r="I21" s="6" t="s">
        <v>63</v>
      </c>
      <c r="J21" s="6" t="s">
        <v>26</v>
      </c>
      <c r="K21" s="6" t="s">
        <v>20</v>
      </c>
    </row>
    <row r="22" spans="1:11" x14ac:dyDescent="0.25">
      <c r="A22" s="4" t="s">
        <v>45</v>
      </c>
      <c r="B22" s="4" t="s">
        <v>12</v>
      </c>
      <c r="C22" s="4" t="s">
        <v>25</v>
      </c>
      <c r="D22" s="5" t="s">
        <v>70</v>
      </c>
      <c r="E22" s="4" t="s">
        <v>14</v>
      </c>
      <c r="F22" s="6" t="s">
        <v>15</v>
      </c>
      <c r="G22" s="6" t="s">
        <v>16</v>
      </c>
      <c r="H22" s="6" t="s">
        <v>17</v>
      </c>
      <c r="I22" s="6" t="s">
        <v>63</v>
      </c>
      <c r="J22" s="6" t="s">
        <v>26</v>
      </c>
      <c r="K22" s="6" t="s">
        <v>20</v>
      </c>
    </row>
    <row r="23" spans="1:11" x14ac:dyDescent="0.25">
      <c r="A23" s="4" t="s">
        <v>45</v>
      </c>
      <c r="B23" s="4" t="s">
        <v>12</v>
      </c>
      <c r="C23" s="4" t="s">
        <v>25</v>
      </c>
      <c r="D23" s="5" t="s">
        <v>71</v>
      </c>
      <c r="E23" s="4" t="s">
        <v>14</v>
      </c>
      <c r="F23" s="6" t="s">
        <v>15</v>
      </c>
      <c r="G23" s="6" t="s">
        <v>16</v>
      </c>
      <c r="H23" s="6" t="s">
        <v>17</v>
      </c>
      <c r="I23" s="6" t="s">
        <v>63</v>
      </c>
      <c r="J23" s="6" t="s">
        <v>26</v>
      </c>
      <c r="K23" s="6" t="s">
        <v>20</v>
      </c>
    </row>
    <row r="24" spans="1:11" x14ac:dyDescent="0.25">
      <c r="A24" s="4" t="s">
        <v>45</v>
      </c>
      <c r="B24" s="4" t="s">
        <v>12</v>
      </c>
      <c r="C24" s="4" t="s">
        <v>25</v>
      </c>
      <c r="D24" s="5" t="s">
        <v>72</v>
      </c>
      <c r="E24" s="4" t="s">
        <v>14</v>
      </c>
      <c r="F24" s="6" t="s">
        <v>15</v>
      </c>
      <c r="G24" s="6" t="s">
        <v>24</v>
      </c>
      <c r="H24" s="6" t="s">
        <v>17</v>
      </c>
      <c r="I24" s="6" t="s">
        <v>63</v>
      </c>
      <c r="J24" s="6" t="s">
        <v>26</v>
      </c>
      <c r="K24" s="6" t="s">
        <v>20</v>
      </c>
    </row>
    <row r="25" spans="1:11" x14ac:dyDescent="0.25">
      <c r="A25" s="4" t="s">
        <v>45</v>
      </c>
      <c r="B25" s="4" t="s">
        <v>12</v>
      </c>
      <c r="C25" s="4" t="s">
        <v>25</v>
      </c>
      <c r="D25" s="5" t="s">
        <v>73</v>
      </c>
      <c r="E25" s="4" t="s">
        <v>14</v>
      </c>
      <c r="F25" s="6" t="s">
        <v>15</v>
      </c>
      <c r="G25" s="6" t="s">
        <v>21</v>
      </c>
      <c r="H25" s="6" t="s">
        <v>17</v>
      </c>
      <c r="I25" s="6" t="s">
        <v>63</v>
      </c>
      <c r="J25" s="6" t="s">
        <v>26</v>
      </c>
      <c r="K25" s="6" t="s">
        <v>20</v>
      </c>
    </row>
    <row r="26" spans="1:11" x14ac:dyDescent="0.25">
      <c r="A26" s="4" t="s">
        <v>45</v>
      </c>
      <c r="B26" s="4" t="s">
        <v>12</v>
      </c>
      <c r="C26" s="4" t="s">
        <v>25</v>
      </c>
      <c r="D26" s="5" t="s">
        <v>74</v>
      </c>
      <c r="E26" s="4" t="s">
        <v>14</v>
      </c>
      <c r="F26" s="6" t="s">
        <v>15</v>
      </c>
      <c r="G26" s="6" t="s">
        <v>16</v>
      </c>
      <c r="H26" s="6" t="s">
        <v>17</v>
      </c>
      <c r="I26" s="6" t="s">
        <v>63</v>
      </c>
      <c r="J26" s="6" t="s">
        <v>26</v>
      </c>
      <c r="K26" s="6" t="s">
        <v>20</v>
      </c>
    </row>
    <row r="27" spans="1:11" x14ac:dyDescent="0.25">
      <c r="A27" s="4" t="s">
        <v>45</v>
      </c>
      <c r="B27" s="4" t="s">
        <v>12</v>
      </c>
      <c r="C27" s="4" t="s">
        <v>25</v>
      </c>
      <c r="D27" s="5" t="s">
        <v>75</v>
      </c>
      <c r="E27" s="4" t="s">
        <v>14</v>
      </c>
      <c r="F27" s="6" t="s">
        <v>15</v>
      </c>
      <c r="G27" s="6" t="s">
        <v>16</v>
      </c>
      <c r="H27" s="6" t="s">
        <v>17</v>
      </c>
      <c r="I27" s="6" t="s">
        <v>63</v>
      </c>
      <c r="J27" s="6" t="s">
        <v>26</v>
      </c>
      <c r="K27" s="6" t="s">
        <v>20</v>
      </c>
    </row>
    <row r="28" spans="1:11" x14ac:dyDescent="0.25">
      <c r="A28" s="4" t="s">
        <v>45</v>
      </c>
      <c r="B28" s="4" t="s">
        <v>12</v>
      </c>
      <c r="C28" s="4" t="s">
        <v>25</v>
      </c>
      <c r="D28" s="5" t="s">
        <v>76</v>
      </c>
      <c r="E28" s="4" t="s">
        <v>14</v>
      </c>
      <c r="F28" s="6" t="s">
        <v>15</v>
      </c>
      <c r="G28" s="6" t="s">
        <v>16</v>
      </c>
      <c r="H28" s="6" t="s">
        <v>17</v>
      </c>
      <c r="I28" s="6" t="s">
        <v>63</v>
      </c>
      <c r="J28" s="6" t="s">
        <v>26</v>
      </c>
      <c r="K28" s="6" t="s">
        <v>20</v>
      </c>
    </row>
    <row r="29" spans="1:11" x14ac:dyDescent="0.25">
      <c r="A29" s="4" t="s">
        <v>45</v>
      </c>
      <c r="B29" s="4" t="s">
        <v>12</v>
      </c>
      <c r="C29" s="4" t="s">
        <v>25</v>
      </c>
      <c r="D29" s="5" t="s">
        <v>77</v>
      </c>
      <c r="E29" s="4" t="s">
        <v>14</v>
      </c>
      <c r="F29" s="6" t="s">
        <v>15</v>
      </c>
      <c r="G29" s="6" t="s">
        <v>16</v>
      </c>
      <c r="H29" s="6" t="s">
        <v>17</v>
      </c>
      <c r="I29" s="6" t="s">
        <v>63</v>
      </c>
      <c r="J29" s="6" t="s">
        <v>26</v>
      </c>
      <c r="K29" s="6" t="s">
        <v>20</v>
      </c>
    </row>
    <row r="30" spans="1:11" x14ac:dyDescent="0.25">
      <c r="A30" s="4" t="s">
        <v>45</v>
      </c>
      <c r="B30" s="4" t="s">
        <v>12</v>
      </c>
      <c r="C30" s="4" t="s">
        <v>25</v>
      </c>
      <c r="D30" s="5" t="s">
        <v>78</v>
      </c>
      <c r="E30" s="4" t="s">
        <v>14</v>
      </c>
      <c r="F30" s="6" t="s">
        <v>15</v>
      </c>
      <c r="G30" s="6" t="s">
        <v>16</v>
      </c>
      <c r="H30" s="6" t="s">
        <v>17</v>
      </c>
      <c r="I30" s="6" t="s">
        <v>63</v>
      </c>
      <c r="J30" s="6" t="s">
        <v>26</v>
      </c>
      <c r="K30" s="6" t="s">
        <v>20</v>
      </c>
    </row>
    <row r="31" spans="1:11" x14ac:dyDescent="0.25">
      <c r="A31" s="4" t="s">
        <v>45</v>
      </c>
      <c r="B31" s="4" t="s">
        <v>12</v>
      </c>
      <c r="C31" s="4" t="s">
        <v>25</v>
      </c>
      <c r="D31" s="5" t="s">
        <v>79</v>
      </c>
      <c r="E31" s="4" t="s">
        <v>14</v>
      </c>
      <c r="F31" s="6" t="s">
        <v>15</v>
      </c>
      <c r="G31" s="6" t="s">
        <v>16</v>
      </c>
      <c r="H31" s="6" t="s">
        <v>17</v>
      </c>
      <c r="I31" s="6" t="s">
        <v>63</v>
      </c>
      <c r="J31" s="6" t="s">
        <v>26</v>
      </c>
      <c r="K31" s="6" t="s">
        <v>20</v>
      </c>
    </row>
    <row r="32" spans="1:11" x14ac:dyDescent="0.25">
      <c r="A32" s="4" t="s">
        <v>45</v>
      </c>
      <c r="B32" s="4" t="s">
        <v>12</v>
      </c>
      <c r="C32" s="4" t="s">
        <v>25</v>
      </c>
      <c r="D32" s="5" t="s">
        <v>80</v>
      </c>
      <c r="E32" s="4" t="s">
        <v>14</v>
      </c>
      <c r="F32" s="6" t="s">
        <v>15</v>
      </c>
      <c r="G32" s="6" t="s">
        <v>16</v>
      </c>
      <c r="H32" s="6" t="s">
        <v>17</v>
      </c>
      <c r="I32" s="6" t="s">
        <v>63</v>
      </c>
      <c r="J32" s="6" t="s">
        <v>26</v>
      </c>
      <c r="K32" s="6" t="s">
        <v>20</v>
      </c>
    </row>
    <row r="33" spans="1:11" x14ac:dyDescent="0.25">
      <c r="A33" s="4" t="s">
        <v>45</v>
      </c>
      <c r="B33" s="4" t="s">
        <v>12</v>
      </c>
      <c r="C33" s="4" t="s">
        <v>25</v>
      </c>
      <c r="D33" s="5" t="s">
        <v>81</v>
      </c>
      <c r="E33" s="4" t="s">
        <v>14</v>
      </c>
      <c r="F33" s="6" t="s">
        <v>15</v>
      </c>
      <c r="G33" s="6" t="s">
        <v>16</v>
      </c>
      <c r="H33" s="6" t="s">
        <v>17</v>
      </c>
      <c r="I33" s="6" t="s">
        <v>63</v>
      </c>
      <c r="J33" s="6" t="s">
        <v>26</v>
      </c>
      <c r="K33" s="6" t="s">
        <v>20</v>
      </c>
    </row>
    <row r="34" spans="1:11" x14ac:dyDescent="0.25">
      <c r="A34" s="4" t="s">
        <v>45</v>
      </c>
      <c r="B34" s="4" t="s">
        <v>12</v>
      </c>
      <c r="C34" s="4" t="s">
        <v>25</v>
      </c>
      <c r="D34" s="5" t="s">
        <v>82</v>
      </c>
      <c r="E34" s="4" t="s">
        <v>14</v>
      </c>
      <c r="F34" s="6" t="s">
        <v>15</v>
      </c>
      <c r="G34" s="6" t="s">
        <v>16</v>
      </c>
      <c r="H34" s="6" t="s">
        <v>17</v>
      </c>
      <c r="I34" s="6" t="s">
        <v>63</v>
      </c>
      <c r="J34" s="6" t="s">
        <v>26</v>
      </c>
      <c r="K34" s="6" t="s">
        <v>20</v>
      </c>
    </row>
    <row r="35" spans="1:11" x14ac:dyDescent="0.25">
      <c r="A35" s="4" t="s">
        <v>45</v>
      </c>
      <c r="B35" s="4" t="s">
        <v>12</v>
      </c>
      <c r="C35" s="4" t="s">
        <v>25</v>
      </c>
      <c r="D35" s="5" t="s">
        <v>83</v>
      </c>
      <c r="E35" s="4" t="s">
        <v>14</v>
      </c>
      <c r="F35" s="6" t="s">
        <v>15</v>
      </c>
      <c r="G35" s="6" t="s">
        <v>16</v>
      </c>
      <c r="H35" s="6" t="s">
        <v>17</v>
      </c>
      <c r="I35" s="6" t="s">
        <v>63</v>
      </c>
      <c r="J35" s="6" t="s">
        <v>26</v>
      </c>
      <c r="K35" s="6" t="s">
        <v>20</v>
      </c>
    </row>
    <row r="36" spans="1:11" x14ac:dyDescent="0.25">
      <c r="A36" s="4" t="s">
        <v>45</v>
      </c>
      <c r="B36" s="4" t="s">
        <v>12</v>
      </c>
      <c r="C36" s="4" t="s">
        <v>25</v>
      </c>
      <c r="D36" s="5" t="s">
        <v>84</v>
      </c>
      <c r="E36" s="4" t="s">
        <v>14</v>
      </c>
      <c r="F36" s="6" t="s">
        <v>15</v>
      </c>
      <c r="G36" s="6" t="s">
        <v>16</v>
      </c>
      <c r="H36" s="6" t="s">
        <v>17</v>
      </c>
      <c r="I36" s="6" t="s">
        <v>63</v>
      </c>
      <c r="J36" s="6" t="s">
        <v>26</v>
      </c>
      <c r="K36" s="6" t="s">
        <v>20</v>
      </c>
    </row>
    <row r="37" spans="1:11" x14ac:dyDescent="0.25">
      <c r="A37" s="4" t="s">
        <v>45</v>
      </c>
      <c r="B37" s="4" t="s">
        <v>12</v>
      </c>
      <c r="C37" s="4" t="s">
        <v>25</v>
      </c>
      <c r="D37" s="5" t="s">
        <v>85</v>
      </c>
      <c r="E37" s="4" t="s">
        <v>14</v>
      </c>
      <c r="F37" s="6" t="s">
        <v>15</v>
      </c>
      <c r="G37" s="6" t="s">
        <v>16</v>
      </c>
      <c r="H37" s="6" t="s">
        <v>17</v>
      </c>
      <c r="I37" s="6" t="s">
        <v>63</v>
      </c>
      <c r="J37" s="6" t="s">
        <v>26</v>
      </c>
      <c r="K37" s="6" t="s">
        <v>20</v>
      </c>
    </row>
    <row r="38" spans="1:11" x14ac:dyDescent="0.25">
      <c r="A38" s="4" t="s">
        <v>45</v>
      </c>
      <c r="B38" s="4" t="s">
        <v>12</v>
      </c>
      <c r="C38" s="4" t="s">
        <v>25</v>
      </c>
      <c r="D38" s="5" t="s">
        <v>86</v>
      </c>
      <c r="E38" s="4" t="s">
        <v>14</v>
      </c>
      <c r="F38" s="6" t="s">
        <v>15</v>
      </c>
      <c r="G38" s="6" t="s">
        <v>16</v>
      </c>
      <c r="H38" s="6" t="s">
        <v>17</v>
      </c>
      <c r="I38" s="6" t="s">
        <v>63</v>
      </c>
      <c r="J38" s="6" t="s">
        <v>26</v>
      </c>
      <c r="K38" s="6" t="s">
        <v>20</v>
      </c>
    </row>
    <row r="39" spans="1:11" x14ac:dyDescent="0.25">
      <c r="A39" s="4" t="s">
        <v>45</v>
      </c>
      <c r="B39" s="4" t="s">
        <v>12</v>
      </c>
      <c r="C39" s="4" t="s">
        <v>25</v>
      </c>
      <c r="D39" s="5" t="s">
        <v>87</v>
      </c>
      <c r="E39" s="4" t="s">
        <v>14</v>
      </c>
      <c r="F39" s="6" t="s">
        <v>15</v>
      </c>
      <c r="G39" s="6" t="s">
        <v>16</v>
      </c>
      <c r="H39" s="6" t="s">
        <v>17</v>
      </c>
      <c r="I39" s="6" t="s">
        <v>63</v>
      </c>
      <c r="J39" s="6" t="s">
        <v>26</v>
      </c>
      <c r="K39" s="6" t="s">
        <v>20</v>
      </c>
    </row>
    <row r="40" spans="1:11" x14ac:dyDescent="0.25">
      <c r="A40" s="4" t="s">
        <v>45</v>
      </c>
      <c r="B40" s="4" t="s">
        <v>12</v>
      </c>
      <c r="C40" s="4" t="s">
        <v>25</v>
      </c>
      <c r="D40" s="5" t="s">
        <v>88</v>
      </c>
      <c r="E40" s="4" t="s">
        <v>14</v>
      </c>
      <c r="F40" s="6" t="s">
        <v>15</v>
      </c>
      <c r="G40" s="6" t="s">
        <v>16</v>
      </c>
      <c r="H40" s="6" t="s">
        <v>17</v>
      </c>
      <c r="I40" s="6" t="s">
        <v>63</v>
      </c>
      <c r="J40" s="6" t="s">
        <v>26</v>
      </c>
      <c r="K40" s="6" t="s">
        <v>20</v>
      </c>
    </row>
    <row r="41" spans="1:11" x14ac:dyDescent="0.25">
      <c r="A41" s="4" t="s">
        <v>45</v>
      </c>
      <c r="B41" s="4" t="s">
        <v>12</v>
      </c>
      <c r="C41" s="4" t="s">
        <v>25</v>
      </c>
      <c r="D41" s="5" t="s">
        <v>89</v>
      </c>
      <c r="E41" s="4" t="s">
        <v>14</v>
      </c>
      <c r="F41" s="6" t="s">
        <v>15</v>
      </c>
      <c r="G41" s="6" t="s">
        <v>16</v>
      </c>
      <c r="H41" s="6" t="s">
        <v>17</v>
      </c>
      <c r="I41" s="6" t="s">
        <v>63</v>
      </c>
      <c r="J41" s="6" t="s">
        <v>26</v>
      </c>
      <c r="K41" s="6" t="s">
        <v>20</v>
      </c>
    </row>
    <row r="42" spans="1:11" x14ac:dyDescent="0.25">
      <c r="A42" s="4" t="s">
        <v>45</v>
      </c>
      <c r="B42" s="4" t="s">
        <v>12</v>
      </c>
      <c r="C42" s="4" t="s">
        <v>25</v>
      </c>
      <c r="D42" s="5" t="s">
        <v>90</v>
      </c>
      <c r="E42" s="4" t="s">
        <v>14</v>
      </c>
      <c r="F42" s="6" t="s">
        <v>15</v>
      </c>
      <c r="G42" s="6" t="s">
        <v>16</v>
      </c>
      <c r="H42" s="6" t="s">
        <v>17</v>
      </c>
      <c r="I42" s="6" t="s">
        <v>63</v>
      </c>
      <c r="J42" s="6" t="s">
        <v>26</v>
      </c>
      <c r="K42" s="6" t="s">
        <v>20</v>
      </c>
    </row>
    <row r="43" spans="1:11" x14ac:dyDescent="0.25">
      <c r="A43" s="4" t="s">
        <v>45</v>
      </c>
      <c r="B43" s="4" t="s">
        <v>12</v>
      </c>
      <c r="C43" s="4" t="s">
        <v>25</v>
      </c>
      <c r="D43" s="5" t="s">
        <v>91</v>
      </c>
      <c r="E43" s="4" t="s">
        <v>14</v>
      </c>
      <c r="F43" s="6" t="s">
        <v>15</v>
      </c>
      <c r="G43" s="6" t="s">
        <v>16</v>
      </c>
      <c r="H43" s="6" t="s">
        <v>17</v>
      </c>
      <c r="I43" s="6" t="s">
        <v>63</v>
      </c>
      <c r="J43" s="6" t="s">
        <v>26</v>
      </c>
      <c r="K43" s="6" t="s">
        <v>20</v>
      </c>
    </row>
    <row r="44" spans="1:11" x14ac:dyDescent="0.25">
      <c r="A44" s="4" t="s">
        <v>45</v>
      </c>
      <c r="B44" s="4" t="s">
        <v>12</v>
      </c>
      <c r="C44" s="4" t="s">
        <v>25</v>
      </c>
      <c r="D44" s="5" t="s">
        <v>92</v>
      </c>
      <c r="E44" s="4" t="s">
        <v>14</v>
      </c>
      <c r="F44" s="6" t="s">
        <v>15</v>
      </c>
      <c r="G44" s="6" t="s">
        <v>16</v>
      </c>
      <c r="H44" s="6" t="s">
        <v>17</v>
      </c>
      <c r="I44" s="6" t="s">
        <v>63</v>
      </c>
      <c r="J44" s="6" t="s">
        <v>26</v>
      </c>
      <c r="K44" s="6" t="s">
        <v>20</v>
      </c>
    </row>
    <row r="45" spans="1:11" x14ac:dyDescent="0.25">
      <c r="A45" s="4" t="s">
        <v>45</v>
      </c>
      <c r="B45" s="4" t="s">
        <v>12</v>
      </c>
      <c r="C45" s="4" t="s">
        <v>25</v>
      </c>
      <c r="D45" s="5" t="s">
        <v>93</v>
      </c>
      <c r="E45" s="4" t="s">
        <v>14</v>
      </c>
      <c r="F45" s="6" t="s">
        <v>15</v>
      </c>
      <c r="G45" s="6" t="s">
        <v>24</v>
      </c>
      <c r="H45" s="6" t="s">
        <v>17</v>
      </c>
      <c r="I45" s="6" t="s">
        <v>63</v>
      </c>
      <c r="J45" s="6" t="s">
        <v>26</v>
      </c>
      <c r="K45" s="6" t="s">
        <v>20</v>
      </c>
    </row>
    <row r="46" spans="1:11" x14ac:dyDescent="0.25">
      <c r="A46" s="4" t="s">
        <v>45</v>
      </c>
      <c r="B46" s="4" t="s">
        <v>12</v>
      </c>
      <c r="C46" s="4" t="s">
        <v>25</v>
      </c>
      <c r="D46" s="5" t="s">
        <v>94</v>
      </c>
      <c r="E46" s="4" t="s">
        <v>14</v>
      </c>
      <c r="F46" s="6" t="s">
        <v>15</v>
      </c>
      <c r="G46" s="6" t="s">
        <v>16</v>
      </c>
      <c r="H46" s="6" t="s">
        <v>17</v>
      </c>
      <c r="I46" s="6" t="s">
        <v>63</v>
      </c>
      <c r="J46" s="6" t="s">
        <v>26</v>
      </c>
      <c r="K46" s="6" t="s">
        <v>20</v>
      </c>
    </row>
    <row r="47" spans="1:11" x14ac:dyDescent="0.25">
      <c r="A47" s="4" t="s">
        <v>45</v>
      </c>
      <c r="B47" s="4" t="s">
        <v>12</v>
      </c>
      <c r="C47" s="4" t="s">
        <v>25</v>
      </c>
      <c r="D47" s="5" t="s">
        <v>95</v>
      </c>
      <c r="E47" s="4" t="s">
        <v>14</v>
      </c>
      <c r="F47" s="6" t="s">
        <v>15</v>
      </c>
      <c r="G47" s="6" t="s">
        <v>16</v>
      </c>
      <c r="H47" s="6" t="s">
        <v>17</v>
      </c>
      <c r="I47" s="6" t="s">
        <v>63</v>
      </c>
      <c r="J47" s="6" t="s">
        <v>26</v>
      </c>
      <c r="K47" s="6" t="s">
        <v>20</v>
      </c>
    </row>
    <row r="48" spans="1:11" x14ac:dyDescent="0.25">
      <c r="A48" s="4" t="s">
        <v>45</v>
      </c>
      <c r="B48" s="4" t="s">
        <v>12</v>
      </c>
      <c r="C48" s="4" t="s">
        <v>25</v>
      </c>
      <c r="D48" s="5" t="s">
        <v>96</v>
      </c>
      <c r="E48" s="4" t="s">
        <v>14</v>
      </c>
      <c r="F48" s="6" t="s">
        <v>15</v>
      </c>
      <c r="G48" s="6" t="s">
        <v>16</v>
      </c>
      <c r="H48" s="6" t="s">
        <v>17</v>
      </c>
      <c r="I48" s="6" t="s">
        <v>63</v>
      </c>
      <c r="J48" s="6" t="s">
        <v>26</v>
      </c>
      <c r="K48" s="6" t="s">
        <v>20</v>
      </c>
    </row>
    <row r="49" spans="1:11" x14ac:dyDescent="0.25">
      <c r="A49" s="4" t="s">
        <v>45</v>
      </c>
      <c r="B49" s="4" t="s">
        <v>12</v>
      </c>
      <c r="C49" s="4" t="s">
        <v>25</v>
      </c>
      <c r="D49" s="5" t="s">
        <v>97</v>
      </c>
      <c r="E49" s="4" t="s">
        <v>14</v>
      </c>
      <c r="F49" s="6" t="s">
        <v>15</v>
      </c>
      <c r="G49" s="6" t="s">
        <v>16</v>
      </c>
      <c r="H49" s="6" t="s">
        <v>17</v>
      </c>
      <c r="I49" s="6" t="s">
        <v>63</v>
      </c>
      <c r="J49" s="6" t="s">
        <v>26</v>
      </c>
      <c r="K49" s="6" t="s">
        <v>20</v>
      </c>
    </row>
    <row r="50" spans="1:11" x14ac:dyDescent="0.25">
      <c r="A50" s="4" t="s">
        <v>45</v>
      </c>
      <c r="B50" s="4" t="s">
        <v>12</v>
      </c>
      <c r="C50" s="4" t="s">
        <v>25</v>
      </c>
      <c r="D50" s="5" t="s">
        <v>98</v>
      </c>
      <c r="E50" s="4" t="s">
        <v>14</v>
      </c>
      <c r="F50" s="6" t="s">
        <v>15</v>
      </c>
      <c r="G50" s="6" t="s">
        <v>16</v>
      </c>
      <c r="H50" s="6" t="s">
        <v>17</v>
      </c>
      <c r="I50" s="6" t="s">
        <v>63</v>
      </c>
      <c r="J50" s="6" t="s">
        <v>26</v>
      </c>
      <c r="K50" s="6" t="s">
        <v>20</v>
      </c>
    </row>
    <row r="51" spans="1:11" x14ac:dyDescent="0.25">
      <c r="A51" s="4" t="s">
        <v>45</v>
      </c>
      <c r="B51" s="4" t="s">
        <v>12</v>
      </c>
      <c r="C51" s="4" t="s">
        <v>25</v>
      </c>
      <c r="D51" s="5" t="s">
        <v>99</v>
      </c>
      <c r="E51" s="4" t="s">
        <v>14</v>
      </c>
      <c r="F51" s="6" t="s">
        <v>15</v>
      </c>
      <c r="G51" s="6" t="s">
        <v>21</v>
      </c>
      <c r="H51" s="6" t="s">
        <v>17</v>
      </c>
      <c r="I51" s="6" t="s">
        <v>63</v>
      </c>
      <c r="J51" s="6" t="s">
        <v>26</v>
      </c>
      <c r="K51" s="6" t="s">
        <v>20</v>
      </c>
    </row>
    <row r="52" spans="1:11" x14ac:dyDescent="0.25">
      <c r="A52" s="4" t="s">
        <v>45</v>
      </c>
      <c r="B52" s="4" t="s">
        <v>12</v>
      </c>
      <c r="C52" s="4" t="s">
        <v>25</v>
      </c>
      <c r="D52" s="5" t="s">
        <v>100</v>
      </c>
      <c r="E52" s="4" t="s">
        <v>14</v>
      </c>
      <c r="F52" s="6" t="s">
        <v>15</v>
      </c>
      <c r="G52" s="6" t="s">
        <v>16</v>
      </c>
      <c r="H52" s="6" t="s">
        <v>17</v>
      </c>
      <c r="I52" s="6" t="s">
        <v>63</v>
      </c>
      <c r="J52" s="6" t="s">
        <v>26</v>
      </c>
      <c r="K52" s="6" t="s">
        <v>20</v>
      </c>
    </row>
    <row r="53" spans="1:11" x14ac:dyDescent="0.25">
      <c r="A53" s="4" t="s">
        <v>45</v>
      </c>
      <c r="B53" s="4" t="s">
        <v>12</v>
      </c>
      <c r="C53" s="4" t="s">
        <v>25</v>
      </c>
      <c r="D53" s="5" t="s">
        <v>101</v>
      </c>
      <c r="E53" s="4" t="s">
        <v>14</v>
      </c>
      <c r="F53" s="6" t="s">
        <v>15</v>
      </c>
      <c r="G53" s="6" t="s">
        <v>16</v>
      </c>
      <c r="H53" s="6" t="s">
        <v>17</v>
      </c>
      <c r="I53" s="6" t="s">
        <v>63</v>
      </c>
      <c r="J53" s="6" t="s">
        <v>26</v>
      </c>
      <c r="K53" s="6" t="s">
        <v>20</v>
      </c>
    </row>
    <row r="54" spans="1:11" x14ac:dyDescent="0.25">
      <c r="A54" s="4" t="s">
        <v>45</v>
      </c>
      <c r="B54" s="4" t="s">
        <v>12</v>
      </c>
      <c r="C54" s="4" t="s">
        <v>25</v>
      </c>
      <c r="D54" s="5" t="s">
        <v>102</v>
      </c>
      <c r="E54" s="4" t="s">
        <v>22</v>
      </c>
      <c r="F54" s="6" t="s">
        <v>15</v>
      </c>
      <c r="G54" s="6" t="s">
        <v>23</v>
      </c>
      <c r="H54" s="6" t="s">
        <v>23</v>
      </c>
      <c r="I54" s="6" t="s">
        <v>63</v>
      </c>
      <c r="J54" s="6" t="s">
        <v>26</v>
      </c>
      <c r="K54" s="6" t="s">
        <v>20</v>
      </c>
    </row>
    <row r="55" spans="1:11" x14ac:dyDescent="0.25">
      <c r="A55" s="4" t="s">
        <v>45</v>
      </c>
      <c r="B55" s="4" t="s">
        <v>12</v>
      </c>
      <c r="C55" s="4" t="s">
        <v>25</v>
      </c>
      <c r="D55" s="5" t="s">
        <v>103</v>
      </c>
      <c r="E55" s="4" t="s">
        <v>14</v>
      </c>
      <c r="F55" s="6" t="s">
        <v>15</v>
      </c>
      <c r="G55" s="6" t="s">
        <v>21</v>
      </c>
      <c r="H55" s="6" t="s">
        <v>17</v>
      </c>
      <c r="I55" s="6" t="s">
        <v>63</v>
      </c>
      <c r="J55" s="6" t="s">
        <v>26</v>
      </c>
      <c r="K55" s="6" t="s">
        <v>20</v>
      </c>
    </row>
    <row r="56" spans="1:11" x14ac:dyDescent="0.25">
      <c r="A56" s="4" t="s">
        <v>45</v>
      </c>
      <c r="B56" s="4" t="s">
        <v>12</v>
      </c>
      <c r="C56" s="4" t="s">
        <v>25</v>
      </c>
      <c r="D56" s="5" t="s">
        <v>104</v>
      </c>
      <c r="E56" s="4" t="s">
        <v>14</v>
      </c>
      <c r="F56" s="6" t="s">
        <v>15</v>
      </c>
      <c r="G56" s="6" t="s">
        <v>16</v>
      </c>
      <c r="H56" s="6" t="s">
        <v>17</v>
      </c>
      <c r="I56" s="6" t="s">
        <v>63</v>
      </c>
      <c r="J56" s="6" t="s">
        <v>26</v>
      </c>
      <c r="K56" s="6" t="s">
        <v>20</v>
      </c>
    </row>
    <row r="57" spans="1:11" x14ac:dyDescent="0.25">
      <c r="A57" s="4" t="s">
        <v>45</v>
      </c>
      <c r="B57" s="4" t="s">
        <v>12</v>
      </c>
      <c r="C57" s="4" t="s">
        <v>25</v>
      </c>
      <c r="D57" s="5" t="s">
        <v>105</v>
      </c>
      <c r="E57" s="4" t="s">
        <v>14</v>
      </c>
      <c r="F57" s="6" t="s">
        <v>15</v>
      </c>
      <c r="G57" s="6" t="s">
        <v>16</v>
      </c>
      <c r="H57" s="6" t="s">
        <v>17</v>
      </c>
      <c r="I57" s="6" t="s">
        <v>63</v>
      </c>
      <c r="J57" s="6" t="s">
        <v>26</v>
      </c>
      <c r="K57" s="6" t="s">
        <v>20</v>
      </c>
    </row>
    <row r="58" spans="1:11" x14ac:dyDescent="0.25">
      <c r="A58" s="4" t="s">
        <v>45</v>
      </c>
      <c r="B58" s="4" t="s">
        <v>12</v>
      </c>
      <c r="C58" s="4" t="s">
        <v>25</v>
      </c>
      <c r="D58" s="5" t="s">
        <v>106</v>
      </c>
      <c r="E58" s="4" t="s">
        <v>14</v>
      </c>
      <c r="F58" s="6" t="s">
        <v>15</v>
      </c>
      <c r="G58" s="6" t="s">
        <v>21</v>
      </c>
      <c r="H58" s="6" t="s">
        <v>17</v>
      </c>
      <c r="I58" s="6" t="s">
        <v>63</v>
      </c>
      <c r="J58" s="6" t="s">
        <v>26</v>
      </c>
      <c r="K58" s="6" t="s">
        <v>20</v>
      </c>
    </row>
    <row r="59" spans="1:11" x14ac:dyDescent="0.25">
      <c r="A59" s="4" t="s">
        <v>45</v>
      </c>
      <c r="B59" s="4" t="s">
        <v>12</v>
      </c>
      <c r="C59" s="4" t="s">
        <v>25</v>
      </c>
      <c r="D59" s="5" t="s">
        <v>107</v>
      </c>
      <c r="E59" s="4" t="s">
        <v>14</v>
      </c>
      <c r="F59" s="6" t="s">
        <v>15</v>
      </c>
      <c r="G59" s="6" t="s">
        <v>16</v>
      </c>
      <c r="H59" s="6" t="s">
        <v>17</v>
      </c>
      <c r="I59" s="6" t="s">
        <v>63</v>
      </c>
      <c r="J59" s="6" t="s">
        <v>26</v>
      </c>
      <c r="K59" s="6" t="s">
        <v>20</v>
      </c>
    </row>
    <row r="60" spans="1:11" x14ac:dyDescent="0.25">
      <c r="A60" s="4" t="s">
        <v>45</v>
      </c>
      <c r="B60" s="4" t="s">
        <v>12</v>
      </c>
      <c r="C60" s="4" t="s">
        <v>25</v>
      </c>
      <c r="D60" s="5" t="s">
        <v>108</v>
      </c>
      <c r="E60" s="4" t="s">
        <v>14</v>
      </c>
      <c r="F60" s="6" t="s">
        <v>15</v>
      </c>
      <c r="G60" s="6" t="s">
        <v>24</v>
      </c>
      <c r="H60" s="6" t="s">
        <v>17</v>
      </c>
      <c r="I60" s="6" t="s">
        <v>63</v>
      </c>
      <c r="J60" s="6" t="s">
        <v>26</v>
      </c>
      <c r="K60" s="6" t="s">
        <v>20</v>
      </c>
    </row>
    <row r="61" spans="1:11" x14ac:dyDescent="0.25">
      <c r="A61" s="4" t="s">
        <v>45</v>
      </c>
      <c r="B61" s="4" t="s">
        <v>12</v>
      </c>
      <c r="C61" s="4" t="s">
        <v>25</v>
      </c>
      <c r="D61" s="5" t="s">
        <v>109</v>
      </c>
      <c r="E61" s="4" t="s">
        <v>14</v>
      </c>
      <c r="F61" s="6" t="s">
        <v>15</v>
      </c>
      <c r="G61" s="6" t="s">
        <v>16</v>
      </c>
      <c r="H61" s="6" t="s">
        <v>17</v>
      </c>
      <c r="I61" s="6" t="s">
        <v>63</v>
      </c>
      <c r="J61" s="6" t="s">
        <v>26</v>
      </c>
      <c r="K61" s="6" t="s">
        <v>20</v>
      </c>
    </row>
    <row r="62" spans="1:11" x14ac:dyDescent="0.25">
      <c r="A62" s="4" t="s">
        <v>45</v>
      </c>
      <c r="B62" s="4" t="s">
        <v>12</v>
      </c>
      <c r="C62" s="4" t="s">
        <v>25</v>
      </c>
      <c r="D62" s="5" t="s">
        <v>110</v>
      </c>
      <c r="E62" s="4" t="s">
        <v>14</v>
      </c>
      <c r="F62" s="6" t="s">
        <v>15</v>
      </c>
      <c r="G62" s="6" t="s">
        <v>21</v>
      </c>
      <c r="H62" s="6" t="s">
        <v>17</v>
      </c>
      <c r="I62" s="6" t="s">
        <v>63</v>
      </c>
      <c r="J62" s="6" t="s">
        <v>26</v>
      </c>
      <c r="K62" s="6" t="s">
        <v>20</v>
      </c>
    </row>
    <row r="63" spans="1:11" x14ac:dyDescent="0.25">
      <c r="A63" s="4" t="s">
        <v>45</v>
      </c>
      <c r="B63" s="4" t="s">
        <v>12</v>
      </c>
      <c r="C63" s="4" t="s">
        <v>25</v>
      </c>
      <c r="D63" s="5" t="s">
        <v>111</v>
      </c>
      <c r="E63" s="4" t="s">
        <v>14</v>
      </c>
      <c r="F63" s="6" t="s">
        <v>15</v>
      </c>
      <c r="G63" s="6" t="s">
        <v>16</v>
      </c>
      <c r="H63" s="6" t="s">
        <v>17</v>
      </c>
      <c r="I63" s="6" t="s">
        <v>63</v>
      </c>
      <c r="J63" s="6" t="s">
        <v>26</v>
      </c>
      <c r="K63" s="6" t="s">
        <v>20</v>
      </c>
    </row>
    <row r="64" spans="1:11" x14ac:dyDescent="0.25">
      <c r="A64" s="4" t="s">
        <v>45</v>
      </c>
      <c r="B64" s="4" t="s">
        <v>12</v>
      </c>
      <c r="C64" s="4" t="s">
        <v>25</v>
      </c>
      <c r="D64" s="5" t="s">
        <v>112</v>
      </c>
      <c r="E64" s="4" t="s">
        <v>14</v>
      </c>
      <c r="F64" s="6" t="s">
        <v>15</v>
      </c>
      <c r="G64" s="6" t="s">
        <v>16</v>
      </c>
      <c r="H64" s="6" t="s">
        <v>17</v>
      </c>
      <c r="I64" s="6" t="s">
        <v>63</v>
      </c>
      <c r="J64" s="6" t="s">
        <v>26</v>
      </c>
      <c r="K64" s="6" t="s">
        <v>20</v>
      </c>
    </row>
    <row r="65" spans="1:11" x14ac:dyDescent="0.25">
      <c r="A65" s="4" t="s">
        <v>45</v>
      </c>
      <c r="B65" s="4" t="s">
        <v>12</v>
      </c>
      <c r="C65" s="4" t="s">
        <v>25</v>
      </c>
      <c r="D65" s="5" t="s">
        <v>113</v>
      </c>
      <c r="E65" s="4" t="s">
        <v>14</v>
      </c>
      <c r="F65" s="6" t="s">
        <v>15</v>
      </c>
      <c r="G65" s="6" t="s">
        <v>24</v>
      </c>
      <c r="H65" s="6" t="s">
        <v>17</v>
      </c>
      <c r="I65" s="6" t="s">
        <v>63</v>
      </c>
      <c r="J65" s="6" t="s">
        <v>26</v>
      </c>
      <c r="K65" s="6" t="s">
        <v>20</v>
      </c>
    </row>
    <row r="66" spans="1:11" x14ac:dyDescent="0.25">
      <c r="A66" s="4" t="s">
        <v>45</v>
      </c>
      <c r="B66" s="4" t="s">
        <v>12</v>
      </c>
      <c r="C66" s="4" t="s">
        <v>25</v>
      </c>
      <c r="D66" s="5" t="s">
        <v>114</v>
      </c>
      <c r="E66" s="4" t="s">
        <v>14</v>
      </c>
      <c r="F66" s="6" t="s">
        <v>15</v>
      </c>
      <c r="G66" s="6" t="s">
        <v>16</v>
      </c>
      <c r="H66" s="6" t="s">
        <v>17</v>
      </c>
      <c r="I66" s="6" t="s">
        <v>63</v>
      </c>
      <c r="J66" s="6" t="s">
        <v>26</v>
      </c>
      <c r="K66" s="6" t="s">
        <v>20</v>
      </c>
    </row>
    <row r="67" spans="1:11" x14ac:dyDescent="0.25">
      <c r="A67" s="4" t="s">
        <v>45</v>
      </c>
      <c r="B67" s="4" t="s">
        <v>12</v>
      </c>
      <c r="C67" s="4" t="s">
        <v>25</v>
      </c>
      <c r="D67" s="5" t="s">
        <v>115</v>
      </c>
      <c r="E67" s="4" t="s">
        <v>14</v>
      </c>
      <c r="F67" s="6" t="s">
        <v>15</v>
      </c>
      <c r="G67" s="6" t="s">
        <v>16</v>
      </c>
      <c r="H67" s="6" t="s">
        <v>17</v>
      </c>
      <c r="I67" s="6" t="s">
        <v>63</v>
      </c>
      <c r="J67" s="6" t="s">
        <v>26</v>
      </c>
      <c r="K67" s="6" t="s">
        <v>20</v>
      </c>
    </row>
    <row r="68" spans="1:11" x14ac:dyDescent="0.25">
      <c r="A68" s="4" t="s">
        <v>45</v>
      </c>
      <c r="B68" s="4" t="s">
        <v>12</v>
      </c>
      <c r="C68" s="4" t="s">
        <v>13</v>
      </c>
      <c r="D68" s="5" t="s">
        <v>116</v>
      </c>
      <c r="E68" s="4" t="s">
        <v>14</v>
      </c>
      <c r="F68" s="6" t="s">
        <v>15</v>
      </c>
      <c r="G68" s="6" t="s">
        <v>21</v>
      </c>
      <c r="H68" s="6" t="s">
        <v>17</v>
      </c>
      <c r="I68" s="6" t="s">
        <v>18</v>
      </c>
      <c r="J68" s="6" t="s">
        <v>19</v>
      </c>
      <c r="K68" s="6" t="s">
        <v>20</v>
      </c>
    </row>
    <row r="69" spans="1:11" x14ac:dyDescent="0.25">
      <c r="A69" s="4" t="s">
        <v>45</v>
      </c>
      <c r="B69" s="4" t="s">
        <v>117</v>
      </c>
      <c r="C69" s="4" t="s">
        <v>118</v>
      </c>
      <c r="D69" s="5" t="s">
        <v>119</v>
      </c>
      <c r="E69" s="4" t="s">
        <v>14</v>
      </c>
      <c r="F69" s="6" t="s">
        <v>15</v>
      </c>
      <c r="G69" s="6" t="s">
        <v>16</v>
      </c>
      <c r="H69" s="6" t="s">
        <v>17</v>
      </c>
      <c r="I69" s="6" t="s">
        <v>120</v>
      </c>
      <c r="J69" s="6" t="s">
        <v>121</v>
      </c>
      <c r="K69" s="6" t="s">
        <v>122</v>
      </c>
    </row>
    <row r="70" spans="1:11" x14ac:dyDescent="0.25">
      <c r="A70" s="4" t="s">
        <v>45</v>
      </c>
      <c r="B70" s="4" t="s">
        <v>117</v>
      </c>
      <c r="C70" s="4" t="s">
        <v>118</v>
      </c>
      <c r="D70" s="5" t="s">
        <v>123</v>
      </c>
      <c r="E70" s="4" t="s">
        <v>14</v>
      </c>
      <c r="F70" s="6" t="s">
        <v>15</v>
      </c>
      <c r="G70" s="6" t="s">
        <v>16</v>
      </c>
      <c r="H70" s="6" t="s">
        <v>17</v>
      </c>
      <c r="I70" s="6" t="s">
        <v>120</v>
      </c>
      <c r="J70" s="6" t="s">
        <v>121</v>
      </c>
      <c r="K70" s="6" t="s">
        <v>122</v>
      </c>
    </row>
    <row r="71" spans="1:11" x14ac:dyDescent="0.25">
      <c r="A71" s="4" t="s">
        <v>45</v>
      </c>
      <c r="B71" s="4" t="s">
        <v>117</v>
      </c>
      <c r="C71" s="4" t="s">
        <v>118</v>
      </c>
      <c r="D71" s="5" t="s">
        <v>124</v>
      </c>
      <c r="E71" s="4" t="s">
        <v>14</v>
      </c>
      <c r="F71" s="6" t="s">
        <v>15</v>
      </c>
      <c r="G71" s="6" t="s">
        <v>16</v>
      </c>
      <c r="H71" s="6" t="s">
        <v>17</v>
      </c>
      <c r="I71" s="6" t="s">
        <v>120</v>
      </c>
      <c r="J71" s="6" t="s">
        <v>121</v>
      </c>
      <c r="K71" s="6" t="s">
        <v>122</v>
      </c>
    </row>
    <row r="72" spans="1:11" x14ac:dyDescent="0.25">
      <c r="A72" s="4" t="s">
        <v>45</v>
      </c>
      <c r="B72" s="4" t="s">
        <v>117</v>
      </c>
      <c r="C72" s="4" t="s">
        <v>125</v>
      </c>
      <c r="D72" s="5" t="s">
        <v>126</v>
      </c>
      <c r="E72" s="4" t="s">
        <v>14</v>
      </c>
      <c r="F72" s="6" t="s">
        <v>15</v>
      </c>
      <c r="G72" s="6" t="s">
        <v>16</v>
      </c>
      <c r="H72" s="6" t="s">
        <v>17</v>
      </c>
      <c r="I72" s="6" t="s">
        <v>120</v>
      </c>
      <c r="J72" s="6" t="s">
        <v>121</v>
      </c>
      <c r="K72" s="6" t="s">
        <v>20</v>
      </c>
    </row>
    <row r="73" spans="1:11" x14ac:dyDescent="0.25">
      <c r="A73" s="4" t="s">
        <v>45</v>
      </c>
      <c r="B73" s="4" t="s">
        <v>117</v>
      </c>
      <c r="C73" s="4" t="s">
        <v>125</v>
      </c>
      <c r="D73" s="5" t="s">
        <v>127</v>
      </c>
      <c r="E73" s="4" t="s">
        <v>14</v>
      </c>
      <c r="F73" s="6" t="s">
        <v>15</v>
      </c>
      <c r="G73" s="6" t="s">
        <v>16</v>
      </c>
      <c r="H73" s="6" t="s">
        <v>17</v>
      </c>
      <c r="I73" s="6" t="s">
        <v>120</v>
      </c>
      <c r="J73" s="6" t="s">
        <v>121</v>
      </c>
      <c r="K73" s="6" t="s">
        <v>20</v>
      </c>
    </row>
    <row r="74" spans="1:11" x14ac:dyDescent="0.25">
      <c r="A74" s="4" t="s">
        <v>45</v>
      </c>
      <c r="B74" s="4" t="s">
        <v>117</v>
      </c>
      <c r="C74" s="4" t="s">
        <v>125</v>
      </c>
      <c r="D74" s="5" t="s">
        <v>128</v>
      </c>
      <c r="E74" s="4" t="s">
        <v>14</v>
      </c>
      <c r="F74" s="6" t="s">
        <v>15</v>
      </c>
      <c r="G74" s="6" t="s">
        <v>16</v>
      </c>
      <c r="H74" s="6" t="s">
        <v>17</v>
      </c>
      <c r="I74" s="6" t="s">
        <v>120</v>
      </c>
      <c r="J74" s="6" t="s">
        <v>121</v>
      </c>
      <c r="K74" s="6" t="s">
        <v>20</v>
      </c>
    </row>
    <row r="75" spans="1:11" x14ac:dyDescent="0.25">
      <c r="A75" s="4" t="s">
        <v>45</v>
      </c>
      <c r="B75" s="4" t="s">
        <v>117</v>
      </c>
      <c r="C75" s="4" t="s">
        <v>125</v>
      </c>
      <c r="D75" s="5" t="s">
        <v>129</v>
      </c>
      <c r="E75" s="4" t="s">
        <v>14</v>
      </c>
      <c r="F75" s="6" t="s">
        <v>15</v>
      </c>
      <c r="G75" s="6" t="s">
        <v>21</v>
      </c>
      <c r="H75" s="6" t="s">
        <v>17</v>
      </c>
      <c r="I75" s="6" t="s">
        <v>120</v>
      </c>
      <c r="J75" s="6" t="s">
        <v>121</v>
      </c>
      <c r="K75" s="6" t="s">
        <v>20</v>
      </c>
    </row>
    <row r="76" spans="1:11" x14ac:dyDescent="0.25">
      <c r="A76" s="4" t="s">
        <v>45</v>
      </c>
      <c r="B76" s="4" t="s">
        <v>117</v>
      </c>
      <c r="C76" s="4" t="s">
        <v>125</v>
      </c>
      <c r="D76" s="5" t="s">
        <v>130</v>
      </c>
      <c r="E76" s="4" t="s">
        <v>14</v>
      </c>
      <c r="F76" s="6" t="s">
        <v>15</v>
      </c>
      <c r="G76" s="6" t="s">
        <v>16</v>
      </c>
      <c r="H76" s="6" t="s">
        <v>17</v>
      </c>
      <c r="I76" s="6" t="s">
        <v>120</v>
      </c>
      <c r="J76" s="6" t="s">
        <v>121</v>
      </c>
      <c r="K76" s="6" t="s">
        <v>20</v>
      </c>
    </row>
    <row r="77" spans="1:11" x14ac:dyDescent="0.25">
      <c r="A77" s="4" t="s">
        <v>45</v>
      </c>
      <c r="B77" s="4" t="s">
        <v>117</v>
      </c>
      <c r="C77" s="4" t="s">
        <v>125</v>
      </c>
      <c r="D77" s="5" t="s">
        <v>131</v>
      </c>
      <c r="E77" s="4" t="s">
        <v>14</v>
      </c>
      <c r="F77" s="6" t="s">
        <v>15</v>
      </c>
      <c r="G77" s="6" t="s">
        <v>16</v>
      </c>
      <c r="H77" s="6" t="s">
        <v>17</v>
      </c>
      <c r="I77" s="6" t="s">
        <v>120</v>
      </c>
      <c r="J77" s="6" t="s">
        <v>121</v>
      </c>
      <c r="K77" s="6" t="s">
        <v>20</v>
      </c>
    </row>
    <row r="78" spans="1:11" x14ac:dyDescent="0.25">
      <c r="A78" s="4" t="s">
        <v>45</v>
      </c>
      <c r="B78" s="4" t="s">
        <v>117</v>
      </c>
      <c r="C78" s="4" t="s">
        <v>125</v>
      </c>
      <c r="D78" s="5" t="s">
        <v>132</v>
      </c>
      <c r="E78" s="4" t="s">
        <v>14</v>
      </c>
      <c r="F78" s="6" t="s">
        <v>15</v>
      </c>
      <c r="G78" s="6" t="s">
        <v>16</v>
      </c>
      <c r="H78" s="6" t="s">
        <v>17</v>
      </c>
      <c r="I78" s="6" t="s">
        <v>120</v>
      </c>
      <c r="J78" s="6" t="s">
        <v>121</v>
      </c>
      <c r="K78" s="6" t="s">
        <v>20</v>
      </c>
    </row>
    <row r="79" spans="1:11" x14ac:dyDescent="0.25">
      <c r="A79" s="4" t="s">
        <v>45</v>
      </c>
      <c r="B79" s="6" t="s">
        <v>117</v>
      </c>
      <c r="C79" s="6" t="s">
        <v>125</v>
      </c>
      <c r="D79" s="17" t="s">
        <v>133</v>
      </c>
      <c r="E79" s="4" t="s">
        <v>14</v>
      </c>
      <c r="F79" s="6" t="s">
        <v>15</v>
      </c>
      <c r="G79" s="6" t="s">
        <v>16</v>
      </c>
      <c r="H79" s="6" t="s">
        <v>17</v>
      </c>
      <c r="I79" s="6" t="s">
        <v>120</v>
      </c>
      <c r="J79" s="6" t="s">
        <v>121</v>
      </c>
      <c r="K79" s="6" t="s">
        <v>20</v>
      </c>
    </row>
    <row r="80" spans="1:11" x14ac:dyDescent="0.25">
      <c r="A80" s="4" t="s">
        <v>45</v>
      </c>
      <c r="B80" s="6" t="s">
        <v>117</v>
      </c>
      <c r="C80" s="6" t="s">
        <v>125</v>
      </c>
      <c r="D80" s="17" t="s">
        <v>134</v>
      </c>
      <c r="E80" s="4" t="s">
        <v>14</v>
      </c>
      <c r="F80" s="6" t="s">
        <v>15</v>
      </c>
      <c r="G80" s="6" t="s">
        <v>16</v>
      </c>
      <c r="H80" s="6" t="s">
        <v>17</v>
      </c>
      <c r="I80" s="6" t="s">
        <v>120</v>
      </c>
      <c r="J80" s="6" t="s">
        <v>121</v>
      </c>
      <c r="K80" s="6" t="s">
        <v>20</v>
      </c>
    </row>
    <row r="81" spans="1:11" x14ac:dyDescent="0.25">
      <c r="A81" s="4" t="s">
        <v>45</v>
      </c>
      <c r="B81" s="6" t="s">
        <v>117</v>
      </c>
      <c r="C81" s="6" t="s">
        <v>125</v>
      </c>
      <c r="D81" s="17" t="s">
        <v>135</v>
      </c>
      <c r="E81" s="4" t="s">
        <v>14</v>
      </c>
      <c r="F81" s="6" t="s">
        <v>15</v>
      </c>
      <c r="G81" s="6" t="s">
        <v>16</v>
      </c>
      <c r="H81" s="6" t="s">
        <v>17</v>
      </c>
      <c r="I81" s="6" t="s">
        <v>120</v>
      </c>
      <c r="J81" s="6" t="s">
        <v>121</v>
      </c>
      <c r="K81" s="6" t="s">
        <v>20</v>
      </c>
    </row>
    <row r="82" spans="1:11" x14ac:dyDescent="0.25">
      <c r="A82" s="4" t="s">
        <v>45</v>
      </c>
      <c r="B82" s="6" t="s">
        <v>117</v>
      </c>
      <c r="C82" s="6" t="s">
        <v>125</v>
      </c>
      <c r="D82" s="17" t="s">
        <v>136</v>
      </c>
      <c r="E82" s="4" t="s">
        <v>14</v>
      </c>
      <c r="F82" s="6" t="s">
        <v>15</v>
      </c>
      <c r="G82" s="6" t="s">
        <v>16</v>
      </c>
      <c r="H82" s="6" t="s">
        <v>17</v>
      </c>
      <c r="I82" s="6" t="s">
        <v>120</v>
      </c>
      <c r="J82" s="6" t="s">
        <v>121</v>
      </c>
      <c r="K82" s="6" t="s">
        <v>20</v>
      </c>
    </row>
    <row r="83" spans="1:11" x14ac:dyDescent="0.25">
      <c r="A83" s="4" t="s">
        <v>45</v>
      </c>
      <c r="B83" s="6" t="s">
        <v>117</v>
      </c>
      <c r="C83" s="6" t="s">
        <v>125</v>
      </c>
      <c r="D83" s="17" t="s">
        <v>137</v>
      </c>
      <c r="E83" s="4" t="s">
        <v>14</v>
      </c>
      <c r="F83" s="6" t="s">
        <v>15</v>
      </c>
      <c r="G83" s="6" t="s">
        <v>16</v>
      </c>
      <c r="H83" s="6" t="s">
        <v>17</v>
      </c>
      <c r="I83" s="6" t="s">
        <v>120</v>
      </c>
      <c r="J83" s="6" t="s">
        <v>121</v>
      </c>
      <c r="K83" s="6" t="s">
        <v>20</v>
      </c>
    </row>
    <row r="84" spans="1:11" x14ac:dyDescent="0.25">
      <c r="A84" s="4" t="s">
        <v>45</v>
      </c>
      <c r="B84" s="6" t="s">
        <v>138</v>
      </c>
      <c r="C84" s="6" t="s">
        <v>25</v>
      </c>
      <c r="D84" s="17" t="s">
        <v>139</v>
      </c>
      <c r="E84" s="4" t="s">
        <v>14</v>
      </c>
      <c r="F84" s="6" t="s">
        <v>15</v>
      </c>
      <c r="G84" s="6" t="s">
        <v>16</v>
      </c>
      <c r="H84" s="6" t="s">
        <v>17</v>
      </c>
      <c r="I84" s="6" t="s">
        <v>140</v>
      </c>
      <c r="J84" s="6" t="s">
        <v>26</v>
      </c>
      <c r="K84" s="6" t="s">
        <v>20</v>
      </c>
    </row>
    <row r="85" spans="1:11" x14ac:dyDescent="0.25">
      <c r="A85" s="4" t="s">
        <v>45</v>
      </c>
      <c r="B85" s="6" t="s">
        <v>138</v>
      </c>
      <c r="C85" s="6" t="s">
        <v>25</v>
      </c>
      <c r="D85" s="17" t="s">
        <v>141</v>
      </c>
      <c r="E85" s="4" t="s">
        <v>14</v>
      </c>
      <c r="F85" s="6" t="s">
        <v>15</v>
      </c>
      <c r="G85" s="6" t="s">
        <v>16</v>
      </c>
      <c r="H85" s="6" t="s">
        <v>17</v>
      </c>
      <c r="I85" s="6" t="s">
        <v>140</v>
      </c>
      <c r="J85" s="6" t="s">
        <v>26</v>
      </c>
      <c r="K85" s="6" t="s">
        <v>20</v>
      </c>
    </row>
    <row r="86" spans="1:11" x14ac:dyDescent="0.25">
      <c r="A86" s="4" t="s">
        <v>45</v>
      </c>
      <c r="B86" s="6" t="s">
        <v>142</v>
      </c>
      <c r="C86" s="6" t="s">
        <v>125</v>
      </c>
      <c r="D86" s="17">
        <v>355817083692598</v>
      </c>
      <c r="E86" s="4" t="s">
        <v>14</v>
      </c>
      <c r="F86" s="6" t="s">
        <v>15</v>
      </c>
      <c r="G86" s="6" t="s">
        <v>24</v>
      </c>
      <c r="H86" s="6" t="s">
        <v>17</v>
      </c>
      <c r="I86" s="6" t="s">
        <v>143</v>
      </c>
      <c r="J86" s="6" t="s">
        <v>121</v>
      </c>
      <c r="K86" s="6" t="s">
        <v>20</v>
      </c>
    </row>
    <row r="87" spans="1:11" x14ac:dyDescent="0.25">
      <c r="A87" s="4" t="s">
        <v>45</v>
      </c>
      <c r="B87" s="6" t="s">
        <v>142</v>
      </c>
      <c r="C87" s="6" t="s">
        <v>144</v>
      </c>
      <c r="D87" s="17">
        <v>355820082321599</v>
      </c>
      <c r="E87" s="4" t="s">
        <v>14</v>
      </c>
      <c r="F87" s="6" t="s">
        <v>15</v>
      </c>
      <c r="G87" s="6" t="s">
        <v>21</v>
      </c>
      <c r="H87" s="6" t="s">
        <v>17</v>
      </c>
      <c r="I87" s="6" t="s">
        <v>145</v>
      </c>
      <c r="J87" s="6" t="s">
        <v>146</v>
      </c>
      <c r="K87" s="6" t="s">
        <v>20</v>
      </c>
    </row>
    <row r="88" spans="1:11" x14ac:dyDescent="0.25">
      <c r="A88" s="4" t="s">
        <v>45</v>
      </c>
      <c r="B88" s="6" t="s">
        <v>142</v>
      </c>
      <c r="C88" s="6" t="s">
        <v>144</v>
      </c>
      <c r="D88" s="17">
        <v>355817080484973</v>
      </c>
      <c r="E88" s="4" t="s">
        <v>14</v>
      </c>
      <c r="F88" s="6" t="s">
        <v>15</v>
      </c>
      <c r="G88" s="6" t="s">
        <v>21</v>
      </c>
      <c r="H88" s="6" t="s">
        <v>17</v>
      </c>
      <c r="I88" s="6" t="s">
        <v>145</v>
      </c>
      <c r="J88" s="6" t="s">
        <v>146</v>
      </c>
      <c r="K88" s="6" t="s">
        <v>20</v>
      </c>
    </row>
  </sheetData>
  <conditionalFormatting sqref="D1">
    <cfRule type="duplicateValues" dxfId="22" priority="26"/>
    <cfRule type="duplicateValues" dxfId="21" priority="27"/>
    <cfRule type="duplicateValues" dxfId="20" priority="28"/>
    <cfRule type="duplicateValues" dxfId="19" priority="29"/>
  </conditionalFormatting>
  <conditionalFormatting sqref="D2:D14">
    <cfRule type="duplicateValues" dxfId="18" priority="15"/>
    <cfRule type="duplicateValues" dxfId="17" priority="16"/>
    <cfRule type="duplicateValues" dxfId="16" priority="17"/>
    <cfRule type="duplicateValues" dxfId="15" priority="18"/>
    <cfRule type="duplicateValues" dxfId="14" priority="19"/>
  </conditionalFormatting>
  <conditionalFormatting sqref="D2:D14">
    <cfRule type="duplicateValues" dxfId="13" priority="14"/>
  </conditionalFormatting>
  <conditionalFormatting sqref="D15:D68">
    <cfRule type="duplicateValues" dxfId="12" priority="9"/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D15:D68">
    <cfRule type="duplicateValues" dxfId="7" priority="8"/>
  </conditionalFormatting>
  <conditionalFormatting sqref="D69:D78">
    <cfRule type="duplicateValues" dxfId="6" priority="3"/>
    <cfRule type="duplicateValues" dxfId="5" priority="4"/>
    <cfRule type="duplicateValues" dxfId="4" priority="5"/>
    <cfRule type="duplicateValues" dxfId="3" priority="6"/>
    <cfRule type="duplicateValues" dxfId="2" priority="7"/>
  </conditionalFormatting>
  <conditionalFormatting sqref="D69:D83">
    <cfRule type="duplicateValues" dxfId="1" priority="2"/>
  </conditionalFormatting>
  <conditionalFormatting sqref="D84:D88">
    <cfRule type="duplicateValues" dxfId="0" priority="1"/>
  </conditionalFormatting>
  <pageMargins left="0.7" right="0.7" top="0.75" bottom="0.75" header="0.3" footer="0.3"/>
  <pageSetup paperSize="12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GenerateSummary">
              <controlPr defaultSize="0" print="0" autoFill="0" autoPict="0" macro="[0]!GeneratePricingSummary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5"/>
  <sheetViews>
    <sheetView zoomScale="115" zoomScaleNormal="115" workbookViewId="0">
      <pane ySplit="1" topLeftCell="A2" activePane="bottomLeft" state="frozen"/>
      <selection pane="bottomLeft" activeCell="A13" sqref="A13:A19"/>
    </sheetView>
  </sheetViews>
  <sheetFormatPr defaultRowHeight="15" x14ac:dyDescent="0.25"/>
  <cols>
    <col min="1" max="1" width="55.7109375" customWidth="1"/>
    <col min="2" max="2" width="12.7109375" customWidth="1"/>
    <col min="3" max="4" width="18.7109375" customWidth="1"/>
    <col min="5" max="5" width="8.7109375" customWidth="1"/>
    <col min="6" max="6" width="14.7109375" customWidth="1"/>
    <col min="7" max="8" width="18.7109375" customWidth="1"/>
    <col min="9" max="9" width="8.7109375" customWidth="1"/>
    <col min="10" max="12" width="18.7109375" customWidth="1"/>
    <col min="13" max="13" width="55.7109375" customWidth="1"/>
    <col min="14" max="14" width="0.140625" hidden="1" customWidth="1"/>
  </cols>
  <sheetData>
    <row r="1" spans="1:14" x14ac:dyDescent="0.25">
      <c r="A1" s="7" t="s">
        <v>27</v>
      </c>
      <c r="B1" s="7" t="s">
        <v>28</v>
      </c>
      <c r="C1" s="7" t="s">
        <v>29</v>
      </c>
      <c r="D1" s="7" t="s">
        <v>30</v>
      </c>
      <c r="E1" s="7"/>
      <c r="F1" s="7" t="s">
        <v>31</v>
      </c>
      <c r="G1" s="7" t="s">
        <v>32</v>
      </c>
      <c r="H1" s="7" t="s">
        <v>33</v>
      </c>
      <c r="I1" s="7"/>
      <c r="J1" s="7" t="s">
        <v>34</v>
      </c>
      <c r="K1" s="7" t="s">
        <v>35</v>
      </c>
      <c r="L1" s="7" t="s">
        <v>36</v>
      </c>
      <c r="M1" s="7" t="s">
        <v>37</v>
      </c>
    </row>
    <row r="2" spans="1:14" x14ac:dyDescent="0.25">
      <c r="A2" s="7" t="s">
        <v>147</v>
      </c>
      <c r="B2" s="7">
        <v>5</v>
      </c>
      <c r="C2" s="8">
        <v>51.25</v>
      </c>
      <c r="D2" s="9">
        <f>B2*C2</f>
        <v>256.25</v>
      </c>
      <c r="E2" s="7"/>
      <c r="F2" s="10">
        <v>1.1499999999999999</v>
      </c>
      <c r="G2" s="8">
        <v>58.937499999999993</v>
      </c>
      <c r="H2" s="8">
        <f>B2*G2</f>
        <v>294.68749999999994</v>
      </c>
      <c r="I2" s="7"/>
      <c r="J2" s="16"/>
      <c r="K2" s="11">
        <f>IF(ISNUMBER(J2),C2*J2,G2)</f>
        <v>58.937499999999993</v>
      </c>
      <c r="L2" s="11">
        <f>B2*K2</f>
        <v>294.68749999999994</v>
      </c>
      <c r="M2" s="7"/>
      <c r="N2" s="15" t="s">
        <v>44</v>
      </c>
    </row>
    <row r="3" spans="1:14" x14ac:dyDescent="0.25">
      <c r="A3" s="7" t="s">
        <v>148</v>
      </c>
      <c r="B3" s="7">
        <v>3</v>
      </c>
      <c r="C3" s="8">
        <v>51.25</v>
      </c>
      <c r="D3" s="9">
        <f>B3*C3</f>
        <v>153.75</v>
      </c>
      <c r="E3" s="7"/>
      <c r="F3" s="10">
        <v>1.1499999999999999</v>
      </c>
      <c r="G3" s="8">
        <v>58.937499999999993</v>
      </c>
      <c r="H3" s="8">
        <f>B3*G3</f>
        <v>176.81249999999997</v>
      </c>
      <c r="I3" s="7"/>
      <c r="J3" s="16"/>
      <c r="K3" s="11">
        <f>IF(ISNUMBER(J3),C3*J3,G3)</f>
        <v>58.937499999999993</v>
      </c>
      <c r="L3" s="11">
        <f>B3*K3</f>
        <v>176.81249999999997</v>
      </c>
      <c r="M3" s="7"/>
      <c r="N3" s="15" t="s">
        <v>44</v>
      </c>
    </row>
    <row r="4" spans="1:14" x14ac:dyDescent="0.25">
      <c r="A4" s="12" t="s">
        <v>149</v>
      </c>
      <c r="B4" s="12"/>
      <c r="C4" s="12" t="s">
        <v>39</v>
      </c>
      <c r="D4" s="12" t="s">
        <v>30</v>
      </c>
      <c r="E4" s="12"/>
      <c r="F4" s="12" t="s">
        <v>40</v>
      </c>
      <c r="G4" s="12" t="s">
        <v>41</v>
      </c>
      <c r="H4" s="12" t="s">
        <v>33</v>
      </c>
      <c r="I4" s="12"/>
      <c r="J4" s="12" t="s">
        <v>42</v>
      </c>
      <c r="K4" s="12" t="s">
        <v>41</v>
      </c>
      <c r="L4" s="12" t="s">
        <v>43</v>
      </c>
      <c r="M4" s="12"/>
    </row>
    <row r="5" spans="1:14" x14ac:dyDescent="0.25">
      <c r="A5" s="12" t="s">
        <v>48</v>
      </c>
      <c r="B5" s="12">
        <f>SUM(B2:B3)</f>
        <v>8</v>
      </c>
      <c r="C5" s="13">
        <f>AVERAGE(C2:C3)</f>
        <v>51.25</v>
      </c>
      <c r="D5" s="13">
        <f>SUM(D2:D3)</f>
        <v>410</v>
      </c>
      <c r="E5" s="12"/>
      <c r="F5" s="13">
        <f>SUMPRODUCT(G2:G3,B2:B3)/SUM(B2:B3)</f>
        <v>58.937499999999986</v>
      </c>
      <c r="G5" s="14">
        <f>F5/C5</f>
        <v>1.1499999999999997</v>
      </c>
      <c r="H5" s="13">
        <f>SUM(H2:H3)</f>
        <v>471.49999999999989</v>
      </c>
      <c r="I5" s="12"/>
      <c r="J5" s="13">
        <f>SUMPRODUCT(K2:K3,B2:B3)/SUM(B2:B3)</f>
        <v>58.937499999999986</v>
      </c>
      <c r="K5" s="14">
        <f>J5/C5</f>
        <v>1.1499999999999997</v>
      </c>
      <c r="L5" s="13">
        <f>SUM(L2:L3)</f>
        <v>471.49999999999989</v>
      </c>
      <c r="M5" s="12"/>
    </row>
    <row r="7" spans="1:14" x14ac:dyDescent="0.25">
      <c r="A7" s="7" t="s">
        <v>27</v>
      </c>
      <c r="B7" s="7" t="s">
        <v>28</v>
      </c>
      <c r="C7" s="7" t="s">
        <v>29</v>
      </c>
      <c r="D7" s="7" t="s">
        <v>30</v>
      </c>
      <c r="E7" s="7"/>
      <c r="F7" s="7" t="s">
        <v>31</v>
      </c>
      <c r="G7" s="7" t="s">
        <v>32</v>
      </c>
      <c r="H7" s="7" t="s">
        <v>33</v>
      </c>
      <c r="I7" s="7"/>
      <c r="J7" s="7" t="s">
        <v>34</v>
      </c>
      <c r="K7" s="7" t="s">
        <v>35</v>
      </c>
      <c r="L7" s="7" t="s">
        <v>36</v>
      </c>
      <c r="M7" s="7" t="s">
        <v>37</v>
      </c>
    </row>
    <row r="8" spans="1:14" x14ac:dyDescent="0.25">
      <c r="A8" s="7" t="s">
        <v>150</v>
      </c>
      <c r="B8" s="7">
        <v>4</v>
      </c>
      <c r="C8" s="8">
        <v>65</v>
      </c>
      <c r="D8" s="9">
        <f>B8*C8</f>
        <v>260</v>
      </c>
      <c r="E8" s="7"/>
      <c r="F8" s="10">
        <v>1.1499999999999999</v>
      </c>
      <c r="G8" s="8">
        <v>74.75</v>
      </c>
      <c r="H8" s="8">
        <f>B8*G8</f>
        <v>299</v>
      </c>
      <c r="I8" s="7"/>
      <c r="J8" s="16"/>
      <c r="K8" s="11">
        <f>IF(ISNUMBER(J8),C8*J8,G8)</f>
        <v>74.75</v>
      </c>
      <c r="L8" s="11">
        <f>B8*K8</f>
        <v>299</v>
      </c>
      <c r="M8" s="7"/>
      <c r="N8" s="15" t="s">
        <v>44</v>
      </c>
    </row>
    <row r="9" spans="1:14" x14ac:dyDescent="0.25">
      <c r="A9" s="7" t="s">
        <v>151</v>
      </c>
      <c r="B9" s="7">
        <v>1</v>
      </c>
      <c r="C9" s="8">
        <v>65</v>
      </c>
      <c r="D9" s="9">
        <f>B9*C9</f>
        <v>65</v>
      </c>
      <c r="E9" s="7"/>
      <c r="F9" s="10">
        <v>0</v>
      </c>
      <c r="G9" s="8">
        <v>0</v>
      </c>
      <c r="H9" s="8">
        <f>B9*G9</f>
        <v>0</v>
      </c>
      <c r="I9" s="7"/>
      <c r="J9" s="16"/>
      <c r="K9" s="11">
        <f>IF(ISNUMBER(J9),C9*J9,G9)</f>
        <v>0</v>
      </c>
      <c r="L9" s="11">
        <f>B9*K9</f>
        <v>0</v>
      </c>
      <c r="M9" s="7"/>
      <c r="N9" s="15" t="s">
        <v>44</v>
      </c>
    </row>
    <row r="10" spans="1:14" x14ac:dyDescent="0.25">
      <c r="A10" s="12" t="s">
        <v>149</v>
      </c>
      <c r="B10" s="12"/>
      <c r="C10" s="12" t="s">
        <v>39</v>
      </c>
      <c r="D10" s="12" t="s">
        <v>30</v>
      </c>
      <c r="E10" s="12"/>
      <c r="F10" s="12" t="s">
        <v>40</v>
      </c>
      <c r="G10" s="12" t="s">
        <v>41</v>
      </c>
      <c r="H10" s="12" t="s">
        <v>33</v>
      </c>
      <c r="I10" s="12"/>
      <c r="J10" s="12" t="s">
        <v>42</v>
      </c>
      <c r="K10" s="12" t="s">
        <v>41</v>
      </c>
      <c r="L10" s="12" t="s">
        <v>43</v>
      </c>
      <c r="M10" s="12"/>
    </row>
    <row r="11" spans="1:14" x14ac:dyDescent="0.25">
      <c r="A11" s="12" t="s">
        <v>57</v>
      </c>
      <c r="B11" s="12">
        <f>SUM(B8:B9)</f>
        <v>5</v>
      </c>
      <c r="C11" s="13">
        <f>AVERAGE(C8:C9)</f>
        <v>65</v>
      </c>
      <c r="D11" s="13">
        <f>SUM(D8:D9)</f>
        <v>325</v>
      </c>
      <c r="E11" s="12"/>
      <c r="F11" s="13">
        <f>SUMPRODUCT(G8:G9,B8:B9)/SUM(B8:B9)</f>
        <v>59.8</v>
      </c>
      <c r="G11" s="14">
        <f>F11/C11</f>
        <v>0.91999999999999993</v>
      </c>
      <c r="H11" s="13">
        <f>SUM(H8:H9)</f>
        <v>299</v>
      </c>
      <c r="I11" s="12"/>
      <c r="J11" s="13">
        <f>SUMPRODUCT(K8:K9,B8:B9)/SUM(B8:B9)</f>
        <v>59.8</v>
      </c>
      <c r="K11" s="14">
        <f>J11/C11</f>
        <v>0.91999999999999993</v>
      </c>
      <c r="L11" s="13">
        <f>SUM(L8:L9)</f>
        <v>299</v>
      </c>
      <c r="M11" s="12"/>
    </row>
    <row r="13" spans="1:14" x14ac:dyDescent="0.25">
      <c r="A13" s="7" t="s">
        <v>27</v>
      </c>
      <c r="B13" s="7" t="s">
        <v>28</v>
      </c>
      <c r="C13" s="7" t="s">
        <v>29</v>
      </c>
      <c r="D13" s="7" t="s">
        <v>30</v>
      </c>
      <c r="E13" s="7"/>
      <c r="F13" s="7" t="s">
        <v>31</v>
      </c>
      <c r="G13" s="7" t="s">
        <v>32</v>
      </c>
      <c r="H13" s="7" t="s">
        <v>33</v>
      </c>
      <c r="I13" s="7"/>
      <c r="J13" s="7" t="s">
        <v>34</v>
      </c>
      <c r="K13" s="7" t="s">
        <v>35</v>
      </c>
      <c r="L13" s="7" t="s">
        <v>36</v>
      </c>
      <c r="M13" s="7" t="s">
        <v>37</v>
      </c>
    </row>
    <row r="14" spans="1:14" x14ac:dyDescent="0.25">
      <c r="A14" s="7" t="s">
        <v>152</v>
      </c>
      <c r="B14" s="7">
        <v>5</v>
      </c>
      <c r="C14" s="8">
        <v>59.15</v>
      </c>
      <c r="D14" s="9">
        <f>B14*C14</f>
        <v>295.75</v>
      </c>
      <c r="E14" s="7"/>
      <c r="F14" s="10">
        <v>1.1499999999999999</v>
      </c>
      <c r="G14" s="8">
        <v>68.022499999999994</v>
      </c>
      <c r="H14" s="8">
        <f>B14*G14</f>
        <v>340.11249999999995</v>
      </c>
      <c r="I14" s="7"/>
      <c r="J14" s="16"/>
      <c r="K14" s="11">
        <f>IF(ISNUMBER(J14),C14*J14,G14)</f>
        <v>68.022499999999994</v>
      </c>
      <c r="L14" s="11">
        <f>B14*K14</f>
        <v>340.11249999999995</v>
      </c>
      <c r="M14" s="7"/>
      <c r="N14" s="15" t="s">
        <v>44</v>
      </c>
    </row>
    <row r="15" spans="1:14" x14ac:dyDescent="0.25">
      <c r="A15" s="7" t="s">
        <v>153</v>
      </c>
      <c r="B15" s="7">
        <v>41</v>
      </c>
      <c r="C15" s="8">
        <v>58.891219512195164</v>
      </c>
      <c r="D15" s="9">
        <f>B15*C15</f>
        <v>2414.5400000000018</v>
      </c>
      <c r="E15" s="7"/>
      <c r="F15" s="10">
        <v>1.1499999999999999</v>
      </c>
      <c r="G15" s="8">
        <v>67.724879999999999</v>
      </c>
      <c r="H15" s="8">
        <f>B15*G15</f>
        <v>2776.7200800000001</v>
      </c>
      <c r="I15" s="7"/>
      <c r="J15" s="16"/>
      <c r="K15" s="11">
        <f>IF(ISNUMBER(J15),C15*J15,G15)</f>
        <v>67.724879999999999</v>
      </c>
      <c r="L15" s="11">
        <f>B15*K15</f>
        <v>2776.7200800000001</v>
      </c>
      <c r="M15" s="7"/>
      <c r="N15" s="15" t="s">
        <v>44</v>
      </c>
    </row>
    <row r="16" spans="1:14" x14ac:dyDescent="0.25">
      <c r="A16" s="7" t="s">
        <v>154</v>
      </c>
      <c r="B16" s="7">
        <v>2</v>
      </c>
      <c r="C16" s="8">
        <v>59.15</v>
      </c>
      <c r="D16" s="9">
        <f>B16*C16</f>
        <v>118.3</v>
      </c>
      <c r="E16" s="7"/>
      <c r="F16" s="10">
        <v>0</v>
      </c>
      <c r="G16" s="8">
        <v>0</v>
      </c>
      <c r="H16" s="8">
        <f>B16*G16</f>
        <v>0</v>
      </c>
      <c r="I16" s="7"/>
      <c r="J16" s="16"/>
      <c r="K16" s="11">
        <f>IF(ISNUMBER(J16),C16*J16,G16)</f>
        <v>0</v>
      </c>
      <c r="L16" s="11">
        <f>B16*K16</f>
        <v>0</v>
      </c>
      <c r="M16" s="7"/>
      <c r="N16" s="15" t="s">
        <v>44</v>
      </c>
    </row>
    <row r="17" spans="1:14" x14ac:dyDescent="0.25">
      <c r="A17" s="7" t="s">
        <v>155</v>
      </c>
      <c r="B17" s="7">
        <v>5</v>
      </c>
      <c r="C17" s="8">
        <v>59.15</v>
      </c>
      <c r="D17" s="9">
        <f>B17*C17</f>
        <v>295.75</v>
      </c>
      <c r="E17" s="7"/>
      <c r="F17" s="10">
        <v>1.05</v>
      </c>
      <c r="G17" s="8">
        <v>62.107500000000002</v>
      </c>
      <c r="H17" s="8">
        <f>B17*G17</f>
        <v>310.53750000000002</v>
      </c>
      <c r="I17" s="7"/>
      <c r="J17" s="16"/>
      <c r="K17" s="11">
        <f>IF(ISNUMBER(J17),C17*J17,G17)</f>
        <v>62.107500000000002</v>
      </c>
      <c r="L17" s="11">
        <f>B17*K17</f>
        <v>310.53750000000002</v>
      </c>
      <c r="M17" s="7"/>
      <c r="N17" s="15" t="s">
        <v>44</v>
      </c>
    </row>
    <row r="18" spans="1:14" x14ac:dyDescent="0.25">
      <c r="A18" s="12" t="s">
        <v>149</v>
      </c>
      <c r="B18" s="12"/>
      <c r="C18" s="12" t="s">
        <v>39</v>
      </c>
      <c r="D18" s="12" t="s">
        <v>30</v>
      </c>
      <c r="E18" s="12"/>
      <c r="F18" s="12" t="s">
        <v>40</v>
      </c>
      <c r="G18" s="12" t="s">
        <v>41</v>
      </c>
      <c r="H18" s="12" t="s">
        <v>33</v>
      </c>
      <c r="I18" s="12"/>
      <c r="J18" s="12" t="s">
        <v>42</v>
      </c>
      <c r="K18" s="12" t="s">
        <v>41</v>
      </c>
      <c r="L18" s="12" t="s">
        <v>43</v>
      </c>
      <c r="M18" s="12"/>
    </row>
    <row r="19" spans="1:14" x14ac:dyDescent="0.25">
      <c r="A19" s="12" t="s">
        <v>63</v>
      </c>
      <c r="B19" s="12">
        <f>SUM(B14:B17)</f>
        <v>53</v>
      </c>
      <c r="C19" s="13">
        <f>AVERAGE(C14:C17)</f>
        <v>59.085304878048795</v>
      </c>
      <c r="D19" s="13">
        <f>SUM(D14:D17)</f>
        <v>3124.340000000002</v>
      </c>
      <c r="E19" s="12"/>
      <c r="F19" s="13">
        <f>SUMPRODUCT(G14:G17,B14:B17)/SUM(B14:B17)</f>
        <v>64.667360000000002</v>
      </c>
      <c r="G19" s="14">
        <f>F19/C19</f>
        <v>1.0944745082296263</v>
      </c>
      <c r="H19" s="13">
        <f>SUM(H14:H17)</f>
        <v>3427.3700800000001</v>
      </c>
      <c r="I19" s="12"/>
      <c r="J19" s="13">
        <f>SUMPRODUCT(K14:K17,B14:B17)/SUM(B14:B17)</f>
        <v>64.667360000000002</v>
      </c>
      <c r="K19" s="14">
        <f>J19/C19</f>
        <v>1.0944745082296263</v>
      </c>
      <c r="L19" s="13">
        <f>SUM(L14:L17)</f>
        <v>3427.3700800000001</v>
      </c>
      <c r="M19" s="12"/>
    </row>
    <row r="21" spans="1:14" x14ac:dyDescent="0.25">
      <c r="A21" s="7" t="s">
        <v>27</v>
      </c>
      <c r="B21" s="7" t="s">
        <v>28</v>
      </c>
      <c r="C21" s="7" t="s">
        <v>29</v>
      </c>
      <c r="D21" s="7" t="s">
        <v>30</v>
      </c>
      <c r="E21" s="7"/>
      <c r="F21" s="7" t="s">
        <v>31</v>
      </c>
      <c r="G21" s="7" t="s">
        <v>32</v>
      </c>
      <c r="H21" s="7" t="s">
        <v>33</v>
      </c>
      <c r="I21" s="7"/>
      <c r="J21" s="7" t="s">
        <v>34</v>
      </c>
      <c r="K21" s="7" t="s">
        <v>35</v>
      </c>
      <c r="L21" s="7" t="s">
        <v>36</v>
      </c>
      <c r="M21" s="7" t="s">
        <v>37</v>
      </c>
    </row>
    <row r="22" spans="1:14" x14ac:dyDescent="0.25">
      <c r="A22" s="7" t="s">
        <v>38</v>
      </c>
      <c r="B22" s="7">
        <v>1</v>
      </c>
      <c r="C22" s="8">
        <v>80</v>
      </c>
      <c r="D22" s="9">
        <f>B22*C22</f>
        <v>80</v>
      </c>
      <c r="E22" s="7"/>
      <c r="F22" s="10">
        <v>1.05</v>
      </c>
      <c r="G22" s="8">
        <v>84</v>
      </c>
      <c r="H22" s="8">
        <f>B22*G22</f>
        <v>84</v>
      </c>
      <c r="I22" s="7"/>
      <c r="J22" s="16"/>
      <c r="K22" s="11">
        <f>IF(ISNUMBER(J22),C22*J22,G22)</f>
        <v>84</v>
      </c>
      <c r="L22" s="11">
        <f>B22*K22</f>
        <v>84</v>
      </c>
      <c r="M22" s="7"/>
      <c r="N22" s="15" t="s">
        <v>44</v>
      </c>
    </row>
    <row r="23" spans="1:14" x14ac:dyDescent="0.25">
      <c r="A23" s="12" t="s">
        <v>149</v>
      </c>
      <c r="B23" s="12"/>
      <c r="C23" s="12" t="s">
        <v>39</v>
      </c>
      <c r="D23" s="12" t="s">
        <v>30</v>
      </c>
      <c r="E23" s="12"/>
      <c r="F23" s="12" t="s">
        <v>40</v>
      </c>
      <c r="G23" s="12" t="s">
        <v>41</v>
      </c>
      <c r="H23" s="12" t="s">
        <v>33</v>
      </c>
      <c r="I23" s="12"/>
      <c r="J23" s="12" t="s">
        <v>42</v>
      </c>
      <c r="K23" s="12" t="s">
        <v>41</v>
      </c>
      <c r="L23" s="12" t="s">
        <v>43</v>
      </c>
      <c r="M23" s="12"/>
    </row>
    <row r="24" spans="1:14" x14ac:dyDescent="0.25">
      <c r="A24" s="12" t="s">
        <v>18</v>
      </c>
      <c r="B24" s="12">
        <f>SUM(B22:B22)</f>
        <v>1</v>
      </c>
      <c r="C24" s="13">
        <f>AVERAGE(C22:C22)</f>
        <v>80</v>
      </c>
      <c r="D24" s="13">
        <f>SUM(D22:D22)</f>
        <v>80</v>
      </c>
      <c r="E24" s="12"/>
      <c r="F24" s="13">
        <f>SUMPRODUCT(G22:G22,B22:B22)/SUM(B22:B22)</f>
        <v>84</v>
      </c>
      <c r="G24" s="14">
        <f>F24/C24</f>
        <v>1.05</v>
      </c>
      <c r="H24" s="13">
        <f>SUM(H22:H22)</f>
        <v>84</v>
      </c>
      <c r="I24" s="12"/>
      <c r="J24" s="13">
        <f>SUMPRODUCT(K22:K22,B22:B22)/SUM(B22:B22)</f>
        <v>84</v>
      </c>
      <c r="K24" s="14">
        <f>J24/C24</f>
        <v>1.05</v>
      </c>
      <c r="L24" s="13">
        <f>SUM(L22:L22)</f>
        <v>84</v>
      </c>
      <c r="M24" s="12"/>
    </row>
    <row r="26" spans="1:14" x14ac:dyDescent="0.25">
      <c r="A26" s="7" t="s">
        <v>27</v>
      </c>
      <c r="B26" s="7" t="s">
        <v>28</v>
      </c>
      <c r="C26" s="7" t="s">
        <v>29</v>
      </c>
      <c r="D26" s="7" t="s">
        <v>30</v>
      </c>
      <c r="E26" s="7"/>
      <c r="F26" s="7" t="s">
        <v>31</v>
      </c>
      <c r="G26" s="7" t="s">
        <v>32</v>
      </c>
      <c r="H26" s="7" t="s">
        <v>33</v>
      </c>
      <c r="I26" s="7"/>
      <c r="J26" s="7" t="s">
        <v>34</v>
      </c>
      <c r="K26" s="7" t="s">
        <v>35</v>
      </c>
      <c r="L26" s="7" t="s">
        <v>36</v>
      </c>
      <c r="M26" s="7" t="s">
        <v>37</v>
      </c>
    </row>
    <row r="27" spans="1:14" x14ac:dyDescent="0.25">
      <c r="A27" s="7" t="s">
        <v>156</v>
      </c>
      <c r="B27" s="7">
        <v>14</v>
      </c>
      <c r="C27" s="8">
        <v>135.36999999999995</v>
      </c>
      <c r="D27" s="9">
        <f>B27*C27</f>
        <v>1895.1799999999994</v>
      </c>
      <c r="E27" s="7"/>
      <c r="F27" s="10">
        <v>1.1499999999999999</v>
      </c>
      <c r="G27" s="8">
        <v>155.6755</v>
      </c>
      <c r="H27" s="8">
        <f>B27*G27</f>
        <v>2179.4569999999999</v>
      </c>
      <c r="I27" s="7"/>
      <c r="J27" s="16"/>
      <c r="K27" s="11">
        <f>IF(ISNUMBER(J27),C27*J27,G27)</f>
        <v>155.6755</v>
      </c>
      <c r="L27" s="11">
        <f>B27*K27</f>
        <v>2179.4569999999999</v>
      </c>
      <c r="M27" s="7"/>
      <c r="N27" s="15" t="s">
        <v>44</v>
      </c>
    </row>
    <row r="28" spans="1:14" x14ac:dyDescent="0.25">
      <c r="A28" s="7" t="s">
        <v>157</v>
      </c>
      <c r="B28" s="7">
        <v>1</v>
      </c>
      <c r="C28" s="8">
        <v>135.37</v>
      </c>
      <c r="D28" s="9">
        <f>B28*C28</f>
        <v>135.37</v>
      </c>
      <c r="E28" s="7"/>
      <c r="F28" s="10">
        <v>1.05</v>
      </c>
      <c r="G28" s="8">
        <v>142.13850000000002</v>
      </c>
      <c r="H28" s="8">
        <f>B28*G28</f>
        <v>142.13850000000002</v>
      </c>
      <c r="I28" s="7"/>
      <c r="J28" s="16"/>
      <c r="K28" s="11">
        <f>IF(ISNUMBER(J28),C28*J28,G28)</f>
        <v>142.13850000000002</v>
      </c>
      <c r="L28" s="11">
        <f>B28*K28</f>
        <v>142.13850000000002</v>
      </c>
      <c r="M28" s="7"/>
      <c r="N28" s="15" t="s">
        <v>44</v>
      </c>
    </row>
    <row r="29" spans="1:14" x14ac:dyDescent="0.25">
      <c r="A29" s="12" t="s">
        <v>149</v>
      </c>
      <c r="B29" s="12"/>
      <c r="C29" s="12" t="s">
        <v>39</v>
      </c>
      <c r="D29" s="12" t="s">
        <v>30</v>
      </c>
      <c r="E29" s="12"/>
      <c r="F29" s="12" t="s">
        <v>40</v>
      </c>
      <c r="G29" s="12" t="s">
        <v>41</v>
      </c>
      <c r="H29" s="12" t="s">
        <v>33</v>
      </c>
      <c r="I29" s="12"/>
      <c r="J29" s="12" t="s">
        <v>42</v>
      </c>
      <c r="K29" s="12" t="s">
        <v>41</v>
      </c>
      <c r="L29" s="12" t="s">
        <v>43</v>
      </c>
      <c r="M29" s="12"/>
    </row>
    <row r="30" spans="1:14" x14ac:dyDescent="0.25">
      <c r="A30" s="12" t="s">
        <v>120</v>
      </c>
      <c r="B30" s="12">
        <f>SUM(B27:B28)</f>
        <v>15</v>
      </c>
      <c r="C30" s="13">
        <f>AVERAGE(C27:C28)</f>
        <v>135.36999999999998</v>
      </c>
      <c r="D30" s="13">
        <f>SUM(D27:D28)</f>
        <v>2030.5499999999993</v>
      </c>
      <c r="E30" s="12"/>
      <c r="F30" s="13">
        <f>SUMPRODUCT(G27:G28,B27:B28)/SUM(B27:B28)</f>
        <v>154.77303333333333</v>
      </c>
      <c r="G30" s="14">
        <f>F30/C30</f>
        <v>1.1433333333333335</v>
      </c>
      <c r="H30" s="13">
        <f>SUM(H27:H28)</f>
        <v>2321.5954999999999</v>
      </c>
      <c r="I30" s="12"/>
      <c r="J30" s="13">
        <f>SUMPRODUCT(K27:K28,B27:B28)/SUM(B27:B28)</f>
        <v>154.77303333333333</v>
      </c>
      <c r="K30" s="14">
        <f>J30/C30</f>
        <v>1.1433333333333335</v>
      </c>
      <c r="L30" s="13">
        <f>SUM(L27:L28)</f>
        <v>2321.5954999999999</v>
      </c>
      <c r="M30" s="12"/>
    </row>
    <row r="32" spans="1:14" x14ac:dyDescent="0.25">
      <c r="A32" s="7" t="s">
        <v>27</v>
      </c>
      <c r="B32" s="7" t="s">
        <v>28</v>
      </c>
      <c r="C32" s="7" t="s">
        <v>29</v>
      </c>
      <c r="D32" s="7" t="s">
        <v>30</v>
      </c>
      <c r="E32" s="7"/>
      <c r="F32" s="7" t="s">
        <v>31</v>
      </c>
      <c r="G32" s="7" t="s">
        <v>32</v>
      </c>
      <c r="H32" s="7" t="s">
        <v>33</v>
      </c>
      <c r="I32" s="7"/>
      <c r="J32" s="7" t="s">
        <v>34</v>
      </c>
      <c r="K32" s="7" t="s">
        <v>35</v>
      </c>
      <c r="L32" s="7" t="s">
        <v>36</v>
      </c>
      <c r="M32" s="7" t="s">
        <v>37</v>
      </c>
    </row>
    <row r="33" spans="1:14" x14ac:dyDescent="0.25">
      <c r="A33" s="7" t="s">
        <v>158</v>
      </c>
      <c r="B33" s="7">
        <v>2</v>
      </c>
      <c r="C33" s="8">
        <v>70</v>
      </c>
      <c r="D33" s="9">
        <f>B33*C33</f>
        <v>140</v>
      </c>
      <c r="E33" s="7"/>
      <c r="F33" s="10">
        <v>1.1499999999999999</v>
      </c>
      <c r="G33" s="8">
        <v>80.5</v>
      </c>
      <c r="H33" s="8">
        <f>B33*G33</f>
        <v>161</v>
      </c>
      <c r="I33" s="7"/>
      <c r="J33" s="16"/>
      <c r="K33" s="11">
        <f>IF(ISNUMBER(J33),C33*J33,G33)</f>
        <v>80.5</v>
      </c>
      <c r="L33" s="11">
        <f>B33*K33</f>
        <v>161</v>
      </c>
      <c r="M33" s="7"/>
      <c r="N33" s="15" t="s">
        <v>44</v>
      </c>
    </row>
    <row r="34" spans="1:14" x14ac:dyDescent="0.25">
      <c r="A34" s="12" t="s">
        <v>149</v>
      </c>
      <c r="B34" s="12"/>
      <c r="C34" s="12" t="s">
        <v>39</v>
      </c>
      <c r="D34" s="12" t="s">
        <v>30</v>
      </c>
      <c r="E34" s="12"/>
      <c r="F34" s="12" t="s">
        <v>40</v>
      </c>
      <c r="G34" s="12" t="s">
        <v>41</v>
      </c>
      <c r="H34" s="12" t="s">
        <v>33</v>
      </c>
      <c r="I34" s="12"/>
      <c r="J34" s="12" t="s">
        <v>42</v>
      </c>
      <c r="K34" s="12" t="s">
        <v>41</v>
      </c>
      <c r="L34" s="12" t="s">
        <v>43</v>
      </c>
      <c r="M34" s="12"/>
    </row>
    <row r="35" spans="1:14" x14ac:dyDescent="0.25">
      <c r="A35" s="12" t="s">
        <v>140</v>
      </c>
      <c r="B35" s="12">
        <f>SUM(B33:B33)</f>
        <v>2</v>
      </c>
      <c r="C35" s="13">
        <f>AVERAGE(C33:C33)</f>
        <v>70</v>
      </c>
      <c r="D35" s="13">
        <f>SUM(D33:D33)</f>
        <v>140</v>
      </c>
      <c r="E35" s="12"/>
      <c r="F35" s="13">
        <f>SUMPRODUCT(G33:G33,B33:B33)/SUM(B33:B33)</f>
        <v>80.5</v>
      </c>
      <c r="G35" s="14">
        <f>F35/C35</f>
        <v>1.1499999999999999</v>
      </c>
      <c r="H35" s="13">
        <f>SUM(H33:H33)</f>
        <v>161</v>
      </c>
      <c r="I35" s="12"/>
      <c r="J35" s="13">
        <f>SUMPRODUCT(K33:K33,B33:B33)/SUM(B33:B33)</f>
        <v>80.5</v>
      </c>
      <c r="K35" s="14">
        <f>J35/C35</f>
        <v>1.1499999999999999</v>
      </c>
      <c r="L35" s="13">
        <f>SUM(L33:L33)</f>
        <v>161</v>
      </c>
      <c r="M35" s="12"/>
    </row>
    <row r="37" spans="1:14" x14ac:dyDescent="0.25">
      <c r="A37" s="7" t="s">
        <v>27</v>
      </c>
      <c r="B37" s="7" t="s">
        <v>28</v>
      </c>
      <c r="C37" s="7" t="s">
        <v>29</v>
      </c>
      <c r="D37" s="7" t="s">
        <v>30</v>
      </c>
      <c r="E37" s="7"/>
      <c r="F37" s="7" t="s">
        <v>31</v>
      </c>
      <c r="G37" s="7" t="s">
        <v>32</v>
      </c>
      <c r="H37" s="7" t="s">
        <v>33</v>
      </c>
      <c r="I37" s="7"/>
      <c r="J37" s="7" t="s">
        <v>34</v>
      </c>
      <c r="K37" s="7" t="s">
        <v>35</v>
      </c>
      <c r="L37" s="7" t="s">
        <v>36</v>
      </c>
      <c r="M37" s="7" t="s">
        <v>37</v>
      </c>
    </row>
    <row r="38" spans="1:14" x14ac:dyDescent="0.25">
      <c r="A38" s="7" t="s">
        <v>159</v>
      </c>
      <c r="B38" s="7">
        <v>1</v>
      </c>
      <c r="C38" s="8">
        <v>85</v>
      </c>
      <c r="D38" s="9">
        <f>B38*C38</f>
        <v>85</v>
      </c>
      <c r="E38" s="7"/>
      <c r="F38" s="10">
        <v>1.1499999999999999</v>
      </c>
      <c r="G38" s="8">
        <v>97.749999999999986</v>
      </c>
      <c r="H38" s="8">
        <f>B38*G38</f>
        <v>97.749999999999986</v>
      </c>
      <c r="I38" s="7"/>
      <c r="J38" s="16"/>
      <c r="K38" s="11">
        <f>IF(ISNUMBER(J38),C38*J38,G38)</f>
        <v>97.749999999999986</v>
      </c>
      <c r="L38" s="11">
        <f>B38*K38</f>
        <v>97.749999999999986</v>
      </c>
      <c r="M38" s="7"/>
      <c r="N38" s="15" t="s">
        <v>44</v>
      </c>
    </row>
    <row r="39" spans="1:14" x14ac:dyDescent="0.25">
      <c r="A39" s="12" t="s">
        <v>149</v>
      </c>
      <c r="B39" s="12"/>
      <c r="C39" s="12" t="s">
        <v>39</v>
      </c>
      <c r="D39" s="12" t="s">
        <v>30</v>
      </c>
      <c r="E39" s="12"/>
      <c r="F39" s="12" t="s">
        <v>40</v>
      </c>
      <c r="G39" s="12" t="s">
        <v>41</v>
      </c>
      <c r="H39" s="12" t="s">
        <v>33</v>
      </c>
      <c r="I39" s="12"/>
      <c r="J39" s="12" t="s">
        <v>42</v>
      </c>
      <c r="K39" s="12" t="s">
        <v>41</v>
      </c>
      <c r="L39" s="12" t="s">
        <v>43</v>
      </c>
      <c r="M39" s="12"/>
    </row>
    <row r="40" spans="1:14" x14ac:dyDescent="0.25">
      <c r="A40" s="12" t="s">
        <v>143</v>
      </c>
      <c r="B40" s="12">
        <f>SUM(B38:B38)</f>
        <v>1</v>
      </c>
      <c r="C40" s="13">
        <f>AVERAGE(C38:C38)</f>
        <v>85</v>
      </c>
      <c r="D40" s="13">
        <f>SUM(D38:D38)</f>
        <v>85</v>
      </c>
      <c r="E40" s="12"/>
      <c r="F40" s="13">
        <f>SUMPRODUCT(G38:G38,B38:B38)/SUM(B38:B38)</f>
        <v>97.749999999999986</v>
      </c>
      <c r="G40" s="14">
        <f>F40/C40</f>
        <v>1.1499999999999999</v>
      </c>
      <c r="H40" s="13">
        <f>SUM(H38:H38)</f>
        <v>97.749999999999986</v>
      </c>
      <c r="I40" s="12"/>
      <c r="J40" s="13">
        <f>SUMPRODUCT(K38:K38,B38:B38)/SUM(B38:B38)</f>
        <v>97.749999999999986</v>
      </c>
      <c r="K40" s="14">
        <f>J40/C40</f>
        <v>1.1499999999999999</v>
      </c>
      <c r="L40" s="13">
        <f>SUM(L38:L38)</f>
        <v>97.749999999999986</v>
      </c>
      <c r="M40" s="12"/>
    </row>
    <row r="42" spans="1:14" x14ac:dyDescent="0.25">
      <c r="A42" s="7" t="s">
        <v>27</v>
      </c>
      <c r="B42" s="7" t="s">
        <v>28</v>
      </c>
      <c r="C42" s="7" t="s">
        <v>29</v>
      </c>
      <c r="D42" s="7" t="s">
        <v>30</v>
      </c>
      <c r="E42" s="7"/>
      <c r="F42" s="7" t="s">
        <v>31</v>
      </c>
      <c r="G42" s="7" t="s">
        <v>32</v>
      </c>
      <c r="H42" s="7" t="s">
        <v>33</v>
      </c>
      <c r="I42" s="7"/>
      <c r="J42" s="7" t="s">
        <v>34</v>
      </c>
      <c r="K42" s="7" t="s">
        <v>35</v>
      </c>
      <c r="L42" s="7" t="s">
        <v>36</v>
      </c>
      <c r="M42" s="7" t="s">
        <v>37</v>
      </c>
    </row>
    <row r="43" spans="1:14" x14ac:dyDescent="0.25">
      <c r="A43" s="7" t="s">
        <v>160</v>
      </c>
      <c r="B43" s="7">
        <v>2</v>
      </c>
      <c r="C43" s="8">
        <v>95</v>
      </c>
      <c r="D43" s="9">
        <f>B43*C43</f>
        <v>190</v>
      </c>
      <c r="E43" s="7"/>
      <c r="F43" s="10">
        <v>1.05</v>
      </c>
      <c r="G43" s="8">
        <v>99.75</v>
      </c>
      <c r="H43" s="8">
        <f>B43*G43</f>
        <v>199.5</v>
      </c>
      <c r="I43" s="7"/>
      <c r="J43" s="16"/>
      <c r="K43" s="11">
        <f>IF(ISNUMBER(J43),C43*J43,G43)</f>
        <v>99.75</v>
      </c>
      <c r="L43" s="11">
        <f>B43*K43</f>
        <v>199.5</v>
      </c>
      <c r="M43" s="7"/>
      <c r="N43" s="15" t="s">
        <v>44</v>
      </c>
    </row>
    <row r="44" spans="1:14" x14ac:dyDescent="0.25">
      <c r="A44" s="12" t="s">
        <v>149</v>
      </c>
      <c r="B44" s="12"/>
      <c r="C44" s="12" t="s">
        <v>39</v>
      </c>
      <c r="D44" s="12" t="s">
        <v>30</v>
      </c>
      <c r="E44" s="12"/>
      <c r="F44" s="12" t="s">
        <v>40</v>
      </c>
      <c r="G44" s="12" t="s">
        <v>41</v>
      </c>
      <c r="H44" s="12" t="s">
        <v>33</v>
      </c>
      <c r="I44" s="12"/>
      <c r="J44" s="12" t="s">
        <v>42</v>
      </c>
      <c r="K44" s="12" t="s">
        <v>41</v>
      </c>
      <c r="L44" s="12" t="s">
        <v>43</v>
      </c>
      <c r="M44" s="12"/>
    </row>
    <row r="45" spans="1:14" x14ac:dyDescent="0.25">
      <c r="A45" s="12" t="s">
        <v>145</v>
      </c>
      <c r="B45" s="12">
        <f>SUM(B43:B43)</f>
        <v>2</v>
      </c>
      <c r="C45" s="13">
        <f>AVERAGE(C43:C43)</f>
        <v>95</v>
      </c>
      <c r="D45" s="13">
        <f>SUM(D43:D43)</f>
        <v>190</v>
      </c>
      <c r="E45" s="12"/>
      <c r="F45" s="13">
        <f>SUMPRODUCT(G43:G43,B43:B43)/SUM(B43:B43)</f>
        <v>99.75</v>
      </c>
      <c r="G45" s="14">
        <f>F45/C45</f>
        <v>1.05</v>
      </c>
      <c r="H45" s="13">
        <f>SUM(H43:H43)</f>
        <v>199.5</v>
      </c>
      <c r="I45" s="12"/>
      <c r="J45" s="13">
        <f>SUMPRODUCT(K43:K43,B43:B43)/SUM(B43:B43)</f>
        <v>99.75</v>
      </c>
      <c r="K45" s="14">
        <f>J45/C45</f>
        <v>1.05</v>
      </c>
      <c r="L45" s="13">
        <f>SUM(L43:L43)</f>
        <v>199.5</v>
      </c>
      <c r="M45" s="1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MANIFEST</vt:lpstr>
      <vt:lpstr>Summary of 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HARB HAMZA</cp:lastModifiedBy>
  <dcterms:created xsi:type="dcterms:W3CDTF">2025-10-27T16:45:33Z</dcterms:created>
  <dcterms:modified xsi:type="dcterms:W3CDTF">2025-12-07T18:19:38Z</dcterms:modified>
</cp:coreProperties>
</file>